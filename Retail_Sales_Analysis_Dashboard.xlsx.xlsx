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lo\Desktop\"/>
    </mc:Choice>
  </mc:AlternateContent>
  <xr:revisionPtr revIDLastSave="0" documentId="13_ncr:1_{BAFB9DE1-017B-4A83-A815-872CDC3533ED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Project_Info" sheetId="2" r:id="rId1"/>
    <sheet name="Raw_Data" sheetId="1" r:id="rId2"/>
    <sheet name="Pivot_Category" sheetId="5" r:id="rId3"/>
    <sheet name="Pivot_Product" sheetId="6" r:id="rId4"/>
    <sheet name="Pivot_Region" sheetId="7" r:id="rId5"/>
    <sheet name="Pivot_Monthly" sheetId="9" r:id="rId6"/>
    <sheet name="cleaned_Data" sheetId="3" r:id="rId7"/>
    <sheet name="analysis" sheetId="4" r:id="rId8"/>
    <sheet name="Dashboard" sheetId="12" r:id="rId9"/>
  </sheets>
  <definedNames>
    <definedName name="_xlnm._FilterDatabase" localSheetId="6" hidden="1">cleaned_Data!$A$1:$P$501</definedName>
  </definedName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B1" i="4"/>
  <c r="B3" i="4" s="1"/>
</calcChain>
</file>

<file path=xl/sharedStrings.xml><?xml version="1.0" encoding="utf-8"?>
<sst xmlns="http://schemas.openxmlformats.org/spreadsheetml/2006/main" count="8655" uniqueCount="1118">
  <si>
    <t>Order_ID</t>
  </si>
  <si>
    <t>Order_Date</t>
  </si>
  <si>
    <t>Customer_ID</t>
  </si>
  <si>
    <t>Region</t>
  </si>
  <si>
    <t>City</t>
  </si>
  <si>
    <t>Sales_Channel</t>
  </si>
  <si>
    <t>Category</t>
  </si>
  <si>
    <t>Product</t>
  </si>
  <si>
    <t>Quantity</t>
  </si>
  <si>
    <t>Unit_Price_ZAR</t>
  </si>
  <si>
    <t>Discount</t>
  </si>
  <si>
    <t>Payment_Method</t>
  </si>
  <si>
    <t>Gross_Sales_ZAR</t>
  </si>
  <si>
    <t>Discount_Amount_ZAR</t>
  </si>
  <si>
    <t>Net_Sales_ZAR</t>
  </si>
  <si>
    <t>ORD00001</t>
  </si>
  <si>
    <t>2025-02-22</t>
  </si>
  <si>
    <t>CUST0174</t>
  </si>
  <si>
    <t>KwaZulu-Natal</t>
  </si>
  <si>
    <t>Durban</t>
  </si>
  <si>
    <t>In-store</t>
  </si>
  <si>
    <t>Skincare</t>
  </si>
  <si>
    <t>Face Wash</t>
  </si>
  <si>
    <t>Mobile Payment</t>
  </si>
  <si>
    <t>ORD00002</t>
  </si>
  <si>
    <t>2025-11-05</t>
  </si>
  <si>
    <t>CUST0007</t>
  </si>
  <si>
    <t>Gauteng</t>
  </si>
  <si>
    <t>Johannesburg</t>
  </si>
  <si>
    <t>ORD00003</t>
  </si>
  <si>
    <t>2025-12-24</t>
  </si>
  <si>
    <t>CUST0109</t>
  </si>
  <si>
    <t>Limpopo</t>
  </si>
  <si>
    <t>Tzaneen</t>
  </si>
  <si>
    <t>Online</t>
  </si>
  <si>
    <t>Haircare</t>
  </si>
  <si>
    <t>Edge Control</t>
  </si>
  <si>
    <t>EFT</t>
  </si>
  <si>
    <t>ORD00004</t>
  </si>
  <si>
    <t>2025-02-19</t>
  </si>
  <si>
    <t>CUST0092</t>
  </si>
  <si>
    <t>Conditioner</t>
  </si>
  <si>
    <t>ORD00005</t>
  </si>
  <si>
    <t>2025-10-10</t>
  </si>
  <si>
    <t>CUST0076</t>
  </si>
  <si>
    <t>Polokwane</t>
  </si>
  <si>
    <t>Glycolic Toner</t>
  </si>
  <si>
    <t>Cash</t>
  </si>
  <si>
    <t>ORD00006</t>
  </si>
  <si>
    <t>2025-02-21</t>
  </si>
  <si>
    <t>CUST0098</t>
  </si>
  <si>
    <t>Western Cape</t>
  </si>
  <si>
    <t>Stellenbosch</t>
  </si>
  <si>
    <t>ORD00007</t>
  </si>
  <si>
    <t>2025-05-17</t>
  </si>
  <si>
    <t>CUST0180</t>
  </si>
  <si>
    <t>Pietermaritzburg</t>
  </si>
  <si>
    <t>Makeup</t>
  </si>
  <si>
    <t>Lip Gloss</t>
  </si>
  <si>
    <t>ORD00008</t>
  </si>
  <si>
    <t>2025-11-24</t>
  </si>
  <si>
    <t>CUST0177</t>
  </si>
  <si>
    <t>Accessories</t>
  </si>
  <si>
    <t>Sunglasses</t>
  </si>
  <si>
    <t>ORD00009</t>
  </si>
  <si>
    <t>2025-02-03</t>
  </si>
  <si>
    <t>CUST0055</t>
  </si>
  <si>
    <t>Pretoria</t>
  </si>
  <si>
    <t>Moisturizer</t>
  </si>
  <si>
    <t>ORD00010</t>
  </si>
  <si>
    <t>2025-05-07</t>
  </si>
  <si>
    <t>CUST0191</t>
  </si>
  <si>
    <t>Eastern Cape</t>
  </si>
  <si>
    <t>Gqeberha</t>
  </si>
  <si>
    <t>Fragrance</t>
  </si>
  <si>
    <t>Perfume</t>
  </si>
  <si>
    <t>ORD00011</t>
  </si>
  <si>
    <t>2025-09-10</t>
  </si>
  <si>
    <t>CUST0024</t>
  </si>
  <si>
    <t>Jewellery Set</t>
  </si>
  <si>
    <t>Card</t>
  </si>
  <si>
    <t>ORD00012</t>
  </si>
  <si>
    <t>2025-11-02</t>
  </si>
  <si>
    <t>CUST0120</t>
  </si>
  <si>
    <t>ORD00013</t>
  </si>
  <si>
    <t>2025-03-22</t>
  </si>
  <si>
    <t>CUST0117</t>
  </si>
  <si>
    <t>Sunscreen</t>
  </si>
  <si>
    <t>ORD00014</t>
  </si>
  <si>
    <t>CUST0130</t>
  </si>
  <si>
    <t>ORD00015</t>
  </si>
  <si>
    <t>2025-09-08</t>
  </si>
  <si>
    <t>CUST0005</t>
  </si>
  <si>
    <t>ORD00016</t>
  </si>
  <si>
    <t>2025-02-13</t>
  </si>
  <si>
    <t>CUST0188</t>
  </si>
  <si>
    <t>ORD00017</t>
  </si>
  <si>
    <t>2025-05-16</t>
  </si>
  <si>
    <t>CUST0136</t>
  </si>
  <si>
    <t>ORD00018</t>
  </si>
  <si>
    <t>2025-07-11</t>
  </si>
  <si>
    <t>CUST0113</t>
  </si>
  <si>
    <t>ORD00019</t>
  </si>
  <si>
    <t>2025-10-11</t>
  </si>
  <si>
    <t>CUST0059</t>
  </si>
  <si>
    <t>ORD00020</t>
  </si>
  <si>
    <t>2025-02-06</t>
  </si>
  <si>
    <t>CUST0132</t>
  </si>
  <si>
    <t>Cape Town</t>
  </si>
  <si>
    <t>ORD00021</t>
  </si>
  <si>
    <t>2025-10-23</t>
  </si>
  <si>
    <t>CUST0122</t>
  </si>
  <si>
    <t>Body Mist</t>
  </si>
  <si>
    <t>ORD00022</t>
  </si>
  <si>
    <t>2025-07-01</t>
  </si>
  <si>
    <t>ORD00023</t>
  </si>
  <si>
    <t>2025-02-25</t>
  </si>
  <si>
    <t>CUST0064</t>
  </si>
  <si>
    <t>ORD00024</t>
  </si>
  <si>
    <t>2025-08-25</t>
  </si>
  <si>
    <t>ORD00025</t>
  </si>
  <si>
    <t>2025-02-17</t>
  </si>
  <si>
    <t>CUST0238</t>
  </si>
  <si>
    <t>Soweto</t>
  </si>
  <si>
    <t>Handbag</t>
  </si>
  <si>
    <t>ORD00026</t>
  </si>
  <si>
    <t>2025-03-26</t>
  </si>
  <si>
    <t>ORD00027</t>
  </si>
  <si>
    <t>2025-10-12</t>
  </si>
  <si>
    <t>CUST0170</t>
  </si>
  <si>
    <t>Blush</t>
  </si>
  <si>
    <t>ORD00028</t>
  </si>
  <si>
    <t>2025-10-05</t>
  </si>
  <si>
    <t>CUST0016</t>
  </si>
  <si>
    <t>Hair Mask</t>
  </si>
  <si>
    <t>ORD00029</t>
  </si>
  <si>
    <t>2025-02-11</t>
  </si>
  <si>
    <t>CUST0218</t>
  </si>
  <si>
    <t>ORD00030</t>
  </si>
  <si>
    <t>CUST0149</t>
  </si>
  <si>
    <t>ORD00031</t>
  </si>
  <si>
    <t>2025-12-09</t>
  </si>
  <si>
    <t>CUST0184</t>
  </si>
  <si>
    <t>Body Lotion</t>
  </si>
  <si>
    <t>ORD00032</t>
  </si>
  <si>
    <t>2025-02-07</t>
  </si>
  <si>
    <t>CUST0003</t>
  </si>
  <si>
    <t>ORD00033</t>
  </si>
  <si>
    <t>2025-02-05</t>
  </si>
  <si>
    <t>CUST0226</t>
  </si>
  <si>
    <t>ORD00034</t>
  </si>
  <si>
    <t>2025-09-28</t>
  </si>
  <si>
    <t>East London</t>
  </si>
  <si>
    <t>ORD00035</t>
  </si>
  <si>
    <t>2025-03-21</t>
  </si>
  <si>
    <t>CUST0070</t>
  </si>
  <si>
    <t>ORD00036</t>
  </si>
  <si>
    <t>CUST0163</t>
  </si>
  <si>
    <t>ORD00037</t>
  </si>
  <si>
    <t>2025-03-24</t>
  </si>
  <si>
    <t>CUST0190</t>
  </si>
  <si>
    <t>ORD00038</t>
  </si>
  <si>
    <t>2025-10-07</t>
  </si>
  <si>
    <t>CUST0010</t>
  </si>
  <si>
    <t>ORD00039</t>
  </si>
  <si>
    <t>2025-07-03</t>
  </si>
  <si>
    <t>CUST0054</t>
  </si>
  <si>
    <t>ORD00040</t>
  </si>
  <si>
    <t>2025-04-01</t>
  </si>
  <si>
    <t>ORD00041</t>
  </si>
  <si>
    <t>2025-12-26</t>
  </si>
  <si>
    <t>CUST0028</t>
  </si>
  <si>
    <t>ORD00042</t>
  </si>
  <si>
    <t>2025-04-27</t>
  </si>
  <si>
    <t>CUST0058</t>
  </si>
  <si>
    <t>ORD00043</t>
  </si>
  <si>
    <t>2025-11-25</t>
  </si>
  <si>
    <t>CUST0131</t>
  </si>
  <si>
    <t>ORD00044</t>
  </si>
  <si>
    <t>2025-01-20</t>
  </si>
  <si>
    <t>ORD00045</t>
  </si>
  <si>
    <t>2025-04-08</t>
  </si>
  <si>
    <t>CUST0066</t>
  </si>
  <si>
    <t>ORD00046</t>
  </si>
  <si>
    <t>2025-06-19</t>
  </si>
  <si>
    <t>CUST0160</t>
  </si>
  <si>
    <t>ORD00047</t>
  </si>
  <si>
    <t>2025-06-01</t>
  </si>
  <si>
    <t>CUST0142</t>
  </si>
  <si>
    <t>Mascara</t>
  </si>
  <si>
    <t>ORD00048</t>
  </si>
  <si>
    <t>2025-06-04</t>
  </si>
  <si>
    <t>CUST0104</t>
  </si>
  <si>
    <t>ORD00049</t>
  </si>
  <si>
    <t>2025-08-15</t>
  </si>
  <si>
    <t>CUST0173</t>
  </si>
  <si>
    <t>ORD00050</t>
  </si>
  <si>
    <t>2025-12-11</t>
  </si>
  <si>
    <t>CUST0080</t>
  </si>
  <si>
    <t>Shampoo</t>
  </si>
  <si>
    <t>ORD00051</t>
  </si>
  <si>
    <t>ORD00052</t>
  </si>
  <si>
    <t>2025-12-19</t>
  </si>
  <si>
    <t>CUST0002</t>
  </si>
  <si>
    <t>ORD00053</t>
  </si>
  <si>
    <t>2025-05-08</t>
  </si>
  <si>
    <t>CUST0235</t>
  </si>
  <si>
    <t>ORD00054</t>
  </si>
  <si>
    <t>2025-09-16</t>
  </si>
  <si>
    <t>CUST0110</t>
  </si>
  <si>
    <t>ORD00055</t>
  </si>
  <si>
    <t>2025-09-24</t>
  </si>
  <si>
    <t>CUST0125</t>
  </si>
  <si>
    <t>ORD00056</t>
  </si>
  <si>
    <t>2025-06-13</t>
  </si>
  <si>
    <t>CUST0229</t>
  </si>
  <si>
    <t>ORD00057</t>
  </si>
  <si>
    <t>2025-02-02</t>
  </si>
  <si>
    <t>CUST0107</t>
  </si>
  <si>
    <t>ORD00058</t>
  </si>
  <si>
    <t>2025-07-19</t>
  </si>
  <si>
    <t>CUST0232</t>
  </si>
  <si>
    <t>ORD00059</t>
  </si>
  <si>
    <t>2025-10-03</t>
  </si>
  <si>
    <t>CUST0192</t>
  </si>
  <si>
    <t>ORD00060</t>
  </si>
  <si>
    <t>2025-06-22</t>
  </si>
  <si>
    <t>CUST0172</t>
  </si>
  <si>
    <t>ORD00061</t>
  </si>
  <si>
    <t>2025-10-16</t>
  </si>
  <si>
    <t>ORD00062</t>
  </si>
  <si>
    <t>2025-07-14</t>
  </si>
  <si>
    <t>CUST0084</t>
  </si>
  <si>
    <t>ORD00063</t>
  </si>
  <si>
    <t>CUST0121</t>
  </si>
  <si>
    <t>ORD00064</t>
  </si>
  <si>
    <t>CUST0052</t>
  </si>
  <si>
    <t>ORD00065</t>
  </si>
  <si>
    <t>2025-08-27</t>
  </si>
  <si>
    <t>ORD00066</t>
  </si>
  <si>
    <t>2025-01-14</t>
  </si>
  <si>
    <t>ORD00067</t>
  </si>
  <si>
    <t>2025-11-18</t>
  </si>
  <si>
    <t>CUST0063</t>
  </si>
  <si>
    <t>ORD00068</t>
  </si>
  <si>
    <t>2025-08-08</t>
  </si>
  <si>
    <t>ORD00069</t>
  </si>
  <si>
    <t>2025-08-10</t>
  </si>
  <si>
    <t>CUST0246</t>
  </si>
  <si>
    <t>Hair Clips</t>
  </si>
  <si>
    <t>ORD00070</t>
  </si>
  <si>
    <t>2025-09-05</t>
  </si>
  <si>
    <t>ORD00071</t>
  </si>
  <si>
    <t>2025-08-26</t>
  </si>
  <si>
    <t>CUST0146</t>
  </si>
  <si>
    <t>ORD00072</t>
  </si>
  <si>
    <t>CUST0205</t>
  </si>
  <si>
    <t>ORD00073</t>
  </si>
  <si>
    <t>CUST0062</t>
  </si>
  <si>
    <t>ORD00074</t>
  </si>
  <si>
    <t>ORD00075</t>
  </si>
  <si>
    <t>2025-09-29</t>
  </si>
  <si>
    <t>CUST0089</t>
  </si>
  <si>
    <t>ORD00076</t>
  </si>
  <si>
    <t>2025-03-03</t>
  </si>
  <si>
    <t>CUST0185</t>
  </si>
  <si>
    <t>ORD00077</t>
  </si>
  <si>
    <t>2025-05-22</t>
  </si>
  <si>
    <t>CUST0186</t>
  </si>
  <si>
    <t>ORD00078</t>
  </si>
  <si>
    <t>2025-01-08</t>
  </si>
  <si>
    <t>CUST0182</t>
  </si>
  <si>
    <t>ORD00079</t>
  </si>
  <si>
    <t>2025-11-23</t>
  </si>
  <si>
    <t>CUST0223</t>
  </si>
  <si>
    <t>ORD00080</t>
  </si>
  <si>
    <t>2025-04-05</t>
  </si>
  <si>
    <t>CUST0248</t>
  </si>
  <si>
    <t>ORD00081</t>
  </si>
  <si>
    <t>CUST0162</t>
  </si>
  <si>
    <t>ORD00082</t>
  </si>
  <si>
    <t>2025-08-02</t>
  </si>
  <si>
    <t>CUST0156</t>
  </si>
  <si>
    <t>ORD00083</t>
  </si>
  <si>
    <t>2025-11-14</t>
  </si>
  <si>
    <t>ORD00084</t>
  </si>
  <si>
    <t>CUST0020</t>
  </si>
  <si>
    <t>ORD00085</t>
  </si>
  <si>
    <t>2025-04-29</t>
  </si>
  <si>
    <t>CUST0074</t>
  </si>
  <si>
    <t>ORD00086</t>
  </si>
  <si>
    <t>2025-10-06</t>
  </si>
  <si>
    <t>ORD00087</t>
  </si>
  <si>
    <t>2025-10-19</t>
  </si>
  <si>
    <t>CUST0236</t>
  </si>
  <si>
    <t>ORD00088</t>
  </si>
  <si>
    <t>2025-10-04</t>
  </si>
  <si>
    <t>CUST0127</t>
  </si>
  <si>
    <t>ORD00089</t>
  </si>
  <si>
    <t>ORD00090</t>
  </si>
  <si>
    <t>Foundation</t>
  </si>
  <si>
    <t>ORD00091</t>
  </si>
  <si>
    <t>2025-07-29</t>
  </si>
  <si>
    <t>CUST0086</t>
  </si>
  <si>
    <t>ORD00092</t>
  </si>
  <si>
    <t>2025-07-25</t>
  </si>
  <si>
    <t>CUST0209</t>
  </si>
  <si>
    <t>ORD00093</t>
  </si>
  <si>
    <t>2025-09-21</t>
  </si>
  <si>
    <t>CUST0212</t>
  </si>
  <si>
    <t>ORD00094</t>
  </si>
  <si>
    <t>2025-11-17</t>
  </si>
  <si>
    <t>CUST0114</t>
  </si>
  <si>
    <t>ORD00095</t>
  </si>
  <si>
    <t>2025-03-04</t>
  </si>
  <si>
    <t>CUST0008</t>
  </si>
  <si>
    <t>ORD00096</t>
  </si>
  <si>
    <t>2025-02-28</t>
  </si>
  <si>
    <t>CUST0119</t>
  </si>
  <si>
    <t>ORD00097</t>
  </si>
  <si>
    <t>2025-08-30</t>
  </si>
  <si>
    <t>ORD00098</t>
  </si>
  <si>
    <t>2025-08-01</t>
  </si>
  <si>
    <t>CUST0088</t>
  </si>
  <si>
    <t>ORD00099</t>
  </si>
  <si>
    <t>CUST0124</t>
  </si>
  <si>
    <t>ORD00100</t>
  </si>
  <si>
    <t>2025-05-03</t>
  </si>
  <si>
    <t>CUST0147</t>
  </si>
  <si>
    <t>ORD00101</t>
  </si>
  <si>
    <t>2025-07-17</t>
  </si>
  <si>
    <t>ORD00102</t>
  </si>
  <si>
    <t>CUST0135</t>
  </si>
  <si>
    <t>ORD00103</t>
  </si>
  <si>
    <t>2025-06-23</t>
  </si>
  <si>
    <t>ORD00104</t>
  </si>
  <si>
    <t>2025-11-13</t>
  </si>
  <si>
    <t>CUST0018</t>
  </si>
  <si>
    <t>ORD00105</t>
  </si>
  <si>
    <t>ORD00106</t>
  </si>
  <si>
    <t>CUST0111</t>
  </si>
  <si>
    <t>ORD00107</t>
  </si>
  <si>
    <t>2025-02-10</t>
  </si>
  <si>
    <t>CUST0157</t>
  </si>
  <si>
    <t>ORD00108</t>
  </si>
  <si>
    <t>2025-05-11</t>
  </si>
  <si>
    <t>CUST0118</t>
  </si>
  <si>
    <t>ORD00109</t>
  </si>
  <si>
    <t>2025-06-26</t>
  </si>
  <si>
    <t>CUST0151</t>
  </si>
  <si>
    <t>ORD00110</t>
  </si>
  <si>
    <t>2025-02-24</t>
  </si>
  <si>
    <t>CUST0061</t>
  </si>
  <si>
    <t>ORD00111</t>
  </si>
  <si>
    <t>2025-05-21</t>
  </si>
  <si>
    <t>ORD00112</t>
  </si>
  <si>
    <t>CUST0159</t>
  </si>
  <si>
    <t>ORD00113</t>
  </si>
  <si>
    <t>2025-07-06</t>
  </si>
  <si>
    <t>ORD00114</t>
  </si>
  <si>
    <t>CUST0225</t>
  </si>
  <si>
    <t>ORD00115</t>
  </si>
  <si>
    <t>ORD00116</t>
  </si>
  <si>
    <t>CUST0068</t>
  </si>
  <si>
    <t>ORD00117</t>
  </si>
  <si>
    <t>ORD00118</t>
  </si>
  <si>
    <t>2025-11-22</t>
  </si>
  <si>
    <t>CUST0211</t>
  </si>
  <si>
    <t>ORD00119</t>
  </si>
  <si>
    <t>CUST0030</t>
  </si>
  <si>
    <t>ORD00120</t>
  </si>
  <si>
    <t>2025-12-23</t>
  </si>
  <si>
    <t>CUST0243</t>
  </si>
  <si>
    <t>ORD00121</t>
  </si>
  <si>
    <t>2025-05-24</t>
  </si>
  <si>
    <t>CUST0009</t>
  </si>
  <si>
    <t>ORD00122</t>
  </si>
  <si>
    <t>2025-07-08</t>
  </si>
  <si>
    <t>CUST0140</t>
  </si>
  <si>
    <t>ORD00123</t>
  </si>
  <si>
    <t>2025-12-06</t>
  </si>
  <si>
    <t>ORD00124</t>
  </si>
  <si>
    <t>2025-04-17</t>
  </si>
  <si>
    <t>ORD00125</t>
  </si>
  <si>
    <t>2025-03-08</t>
  </si>
  <si>
    <t>CUST0139</t>
  </si>
  <si>
    <t>ORD00126</t>
  </si>
  <si>
    <t>2025-10-29</t>
  </si>
  <si>
    <t>CUST0083</t>
  </si>
  <si>
    <t>ORD00127</t>
  </si>
  <si>
    <t>ORD00128</t>
  </si>
  <si>
    <t>2025-12-04</t>
  </si>
  <si>
    <t>CUST0134</t>
  </si>
  <si>
    <t>ORD00129</t>
  </si>
  <si>
    <t>CUST0126</t>
  </si>
  <si>
    <t>ORD00130</t>
  </si>
  <si>
    <t>ORD00131</t>
  </si>
  <si>
    <t>CUST0219</t>
  </si>
  <si>
    <t>ORD00132</t>
  </si>
  <si>
    <t>CUST0187</t>
  </si>
  <si>
    <t>ORD00133</t>
  </si>
  <si>
    <t>2025-08-31</t>
  </si>
  <si>
    <t>ORD00134</t>
  </si>
  <si>
    <t>CUST0143</t>
  </si>
  <si>
    <t>ORD00135</t>
  </si>
  <si>
    <t>2025-05-28</t>
  </si>
  <si>
    <t>CUST0154</t>
  </si>
  <si>
    <t>ORD00136</t>
  </si>
  <si>
    <t>2025-06-29</t>
  </si>
  <si>
    <t>CUST0217</t>
  </si>
  <si>
    <t>ORD00137</t>
  </si>
  <si>
    <t>2025-12-22</t>
  </si>
  <si>
    <t>CUST0069</t>
  </si>
  <si>
    <t>ORD00138</t>
  </si>
  <si>
    <t>2025-03-15</t>
  </si>
  <si>
    <t>CUST0145</t>
  </si>
  <si>
    <t>ORD00139</t>
  </si>
  <si>
    <t>2025-07-12</t>
  </si>
  <si>
    <t>CUST0108</t>
  </si>
  <si>
    <t>ORD00140</t>
  </si>
  <si>
    <t>CUST0227</t>
  </si>
  <si>
    <t>ORD00141</t>
  </si>
  <si>
    <t>2025-08-06</t>
  </si>
  <si>
    <t>ORD00142</t>
  </si>
  <si>
    <t>2025-02-26</t>
  </si>
  <si>
    <t>CUST0073</t>
  </si>
  <si>
    <t>ORD00143</t>
  </si>
  <si>
    <t>ORD00144</t>
  </si>
  <si>
    <t>2025-08-09</t>
  </si>
  <si>
    <t>CUST0045</t>
  </si>
  <si>
    <t>ORD00145</t>
  </si>
  <si>
    <t>2025-01-22</t>
  </si>
  <si>
    <t>CUST0112</t>
  </si>
  <si>
    <t>ORD00146</t>
  </si>
  <si>
    <t>2025-12-30</t>
  </si>
  <si>
    <t>CUST0164</t>
  </si>
  <si>
    <t>ORD00147</t>
  </si>
  <si>
    <t>2025-08-24</t>
  </si>
  <si>
    <t>CUST0213</t>
  </si>
  <si>
    <t>ORD00148</t>
  </si>
  <si>
    <t>2025-09-26</t>
  </si>
  <si>
    <t>CUST0021</t>
  </si>
  <si>
    <t>ORD00149</t>
  </si>
  <si>
    <t>2025-11-21</t>
  </si>
  <si>
    <t>ORD00150</t>
  </si>
  <si>
    <t>2025-04-12</t>
  </si>
  <si>
    <t>ORD00151</t>
  </si>
  <si>
    <t>2025-11-26</t>
  </si>
  <si>
    <t>ORD00152</t>
  </si>
  <si>
    <t>2025-06-05</t>
  </si>
  <si>
    <t>CUST0204</t>
  </si>
  <si>
    <t>ORD00153</t>
  </si>
  <si>
    <t>2025-01-30</t>
  </si>
  <si>
    <t>CUST0095</t>
  </si>
  <si>
    <t>ORD00154</t>
  </si>
  <si>
    <t>2025-11-30</t>
  </si>
  <si>
    <t>CUST0049</t>
  </si>
  <si>
    <t>ORD00155</t>
  </si>
  <si>
    <t>ORD00156</t>
  </si>
  <si>
    <t>2025-05-25</t>
  </si>
  <si>
    <t>CUST0100</t>
  </si>
  <si>
    <t>ORD00157</t>
  </si>
  <si>
    <t>2025-10-13</t>
  </si>
  <si>
    <t>ORD00158</t>
  </si>
  <si>
    <t>2025-03-14</t>
  </si>
  <si>
    <t>ORD00159</t>
  </si>
  <si>
    <t>CUST0165</t>
  </si>
  <si>
    <t>ORD00160</t>
  </si>
  <si>
    <t>2025-06-08</t>
  </si>
  <si>
    <t>CUST0047</t>
  </si>
  <si>
    <t>ORD00161</t>
  </si>
  <si>
    <t>ORD00162</t>
  </si>
  <si>
    <t>2025-04-03</t>
  </si>
  <si>
    <t>ORD00163</t>
  </si>
  <si>
    <t>2025-05-26</t>
  </si>
  <si>
    <t>CUST0193</t>
  </si>
  <si>
    <t>ORD00164</t>
  </si>
  <si>
    <t>2025-12-14</t>
  </si>
  <si>
    <t>ORD00165</t>
  </si>
  <si>
    <t>2025-11-06</t>
  </si>
  <si>
    <t>CUST0036</t>
  </si>
  <si>
    <t>ORD00166</t>
  </si>
  <si>
    <t>2025-03-05</t>
  </si>
  <si>
    <t>ORD00167</t>
  </si>
  <si>
    <t>2025-04-24</t>
  </si>
  <si>
    <t>CUST0210</t>
  </si>
  <si>
    <t>ORD00168</t>
  </si>
  <si>
    <t>2025-05-01</t>
  </si>
  <si>
    <t>CUST0099</t>
  </si>
  <si>
    <t>ORD00169</t>
  </si>
  <si>
    <t>2025-06-21</t>
  </si>
  <si>
    <t>CUST0203</t>
  </si>
  <si>
    <t>ORD00170</t>
  </si>
  <si>
    <t>2025-08-18</t>
  </si>
  <si>
    <t>CUST0158</t>
  </si>
  <si>
    <t>ORD00171</t>
  </si>
  <si>
    <t>2025-11-08</t>
  </si>
  <si>
    <t>ORD00172</t>
  </si>
  <si>
    <t>2025-08-03</t>
  </si>
  <si>
    <t>ORD00173</t>
  </si>
  <si>
    <t>2025-10-22</t>
  </si>
  <si>
    <t>ORD00174</t>
  </si>
  <si>
    <t>CUST0048</t>
  </si>
  <si>
    <t>ORD00175</t>
  </si>
  <si>
    <t>2025-07-18</t>
  </si>
  <si>
    <t>CUST0096</t>
  </si>
  <si>
    <t>ORD00176</t>
  </si>
  <si>
    <t>CUST0027</t>
  </si>
  <si>
    <t>ORD00177</t>
  </si>
  <si>
    <t>2025-12-17</t>
  </si>
  <si>
    <t>ORD00178</t>
  </si>
  <si>
    <t>2025-01-23</t>
  </si>
  <si>
    <t>ORD00179</t>
  </si>
  <si>
    <t>2025-05-10</t>
  </si>
  <si>
    <t>ORD00180</t>
  </si>
  <si>
    <t>2025-08-12</t>
  </si>
  <si>
    <t>CUST0228</t>
  </si>
  <si>
    <t>ORD00181</t>
  </si>
  <si>
    <t>CUST0237</t>
  </si>
  <si>
    <t>ORD00182</t>
  </si>
  <si>
    <t>2025-06-14</t>
  </si>
  <si>
    <t>ORD00183</t>
  </si>
  <si>
    <t>2025-08-16</t>
  </si>
  <si>
    <t>CUST0090</t>
  </si>
  <si>
    <t>ORD00184</t>
  </si>
  <si>
    <t>ORD00185</t>
  </si>
  <si>
    <t>2025-02-04</t>
  </si>
  <si>
    <t>ORD00186</t>
  </si>
  <si>
    <t>2025-08-19</t>
  </si>
  <si>
    <t>ORD00187</t>
  </si>
  <si>
    <t>2025-07-23</t>
  </si>
  <si>
    <t>CUST0081</t>
  </si>
  <si>
    <t>ORD00188</t>
  </si>
  <si>
    <t>2025-10-15</t>
  </si>
  <si>
    <t>CUST0031</t>
  </si>
  <si>
    <t>ORD00189</t>
  </si>
  <si>
    <t>2025-04-13</t>
  </si>
  <si>
    <t>CUST0032</t>
  </si>
  <si>
    <t>ORD00190</t>
  </si>
  <si>
    <t>2025-12-08</t>
  </si>
  <si>
    <t>ORD00191</t>
  </si>
  <si>
    <t>ORD00192</t>
  </si>
  <si>
    <t>ORD00193</t>
  </si>
  <si>
    <t>CUST0033</t>
  </si>
  <si>
    <t>ORD00194</t>
  </si>
  <si>
    <t>ORD00195</t>
  </si>
  <si>
    <t>CUST0043</t>
  </si>
  <si>
    <t>ORD00196</t>
  </si>
  <si>
    <t>2025-04-11</t>
  </si>
  <si>
    <t>ORD00197</t>
  </si>
  <si>
    <t>2025-03-20</t>
  </si>
  <si>
    <t>CUST0044</t>
  </si>
  <si>
    <t>ORD00198</t>
  </si>
  <si>
    <t>ORD00199</t>
  </si>
  <si>
    <t>ORD00200</t>
  </si>
  <si>
    <t>ORD00201</t>
  </si>
  <si>
    <t>2025-07-24</t>
  </si>
  <si>
    <t>CUST0034</t>
  </si>
  <si>
    <t>ORD00202</t>
  </si>
  <si>
    <t>CUST0037</t>
  </si>
  <si>
    <t>ORD00203</t>
  </si>
  <si>
    <t>2025-06-17</t>
  </si>
  <si>
    <t>CUST0240</t>
  </si>
  <si>
    <t>ORD00204</t>
  </si>
  <si>
    <t>2025-09-12</t>
  </si>
  <si>
    <t>CUST0006</t>
  </si>
  <si>
    <t>ORD00205</t>
  </si>
  <si>
    <t>2025-01-25</t>
  </si>
  <si>
    <t>CUST0013</t>
  </si>
  <si>
    <t>ORD00206</t>
  </si>
  <si>
    <t>2025-03-10</t>
  </si>
  <si>
    <t>ORD00207</t>
  </si>
  <si>
    <t>CUST0050</t>
  </si>
  <si>
    <t>ORD00208</t>
  </si>
  <si>
    <t>2025-11-16</t>
  </si>
  <si>
    <t>CUST0175</t>
  </si>
  <si>
    <t>ORD00209</t>
  </si>
  <si>
    <t>CUST0051</t>
  </si>
  <si>
    <t>ORD00210</t>
  </si>
  <si>
    <t>2025-08-22</t>
  </si>
  <si>
    <t>CUST0039</t>
  </si>
  <si>
    <t>ORD00211</t>
  </si>
  <si>
    <t>2025-06-03</t>
  </si>
  <si>
    <t>CUST0152</t>
  </si>
  <si>
    <t>ORD00212</t>
  </si>
  <si>
    <t>CUST0029</t>
  </si>
  <si>
    <t>ORD00213</t>
  </si>
  <si>
    <t>2025-10-26</t>
  </si>
  <si>
    <t>CUST0123</t>
  </si>
  <si>
    <t>ORD00214</t>
  </si>
  <si>
    <t>ORD00215</t>
  </si>
  <si>
    <t>2025-11-10</t>
  </si>
  <si>
    <t>ORD00216</t>
  </si>
  <si>
    <t>2025-09-27</t>
  </si>
  <si>
    <t>CUST0097</t>
  </si>
  <si>
    <t>ORD00217</t>
  </si>
  <si>
    <t>2025-12-15</t>
  </si>
  <si>
    <t>ORD00218</t>
  </si>
  <si>
    <t>CUST0181</t>
  </si>
  <si>
    <t>ORD00219</t>
  </si>
  <si>
    <t>2025-10-21</t>
  </si>
  <si>
    <t>ORD00220</t>
  </si>
  <si>
    <t>ORD00221</t>
  </si>
  <si>
    <t>2025-05-20</t>
  </si>
  <si>
    <t>ORD00222</t>
  </si>
  <si>
    <t>2025-01-27</t>
  </si>
  <si>
    <t>CUST0026</t>
  </si>
  <si>
    <t>ORD00223</t>
  </si>
  <si>
    <t>2025-07-28</t>
  </si>
  <si>
    <t>CUST0168</t>
  </si>
  <si>
    <t>ORD00224</t>
  </si>
  <si>
    <t>2025-02-15</t>
  </si>
  <si>
    <t>CUST0167</t>
  </si>
  <si>
    <t>ORD00225</t>
  </si>
  <si>
    <t>2025-04-06</t>
  </si>
  <si>
    <t>ORD00226</t>
  </si>
  <si>
    <t>2025-08-21</t>
  </si>
  <si>
    <t>ORD00227</t>
  </si>
  <si>
    <t>2025-03-25</t>
  </si>
  <si>
    <t>ORD00228</t>
  </si>
  <si>
    <t>2025-04-09</t>
  </si>
  <si>
    <t>ORD00229</t>
  </si>
  <si>
    <t>ORD00230</t>
  </si>
  <si>
    <t>CUST0245</t>
  </si>
  <si>
    <t>ORD00231</t>
  </si>
  <si>
    <t>2025-02-01</t>
  </si>
  <si>
    <t>CUST0171</t>
  </si>
  <si>
    <t>ORD00232</t>
  </si>
  <si>
    <t>ORD00233</t>
  </si>
  <si>
    <t>ORD00234</t>
  </si>
  <si>
    <t>CUST0224</t>
  </si>
  <si>
    <t>ORD00235</t>
  </si>
  <si>
    <t>2025-10-08</t>
  </si>
  <si>
    <t>ORD00236</t>
  </si>
  <si>
    <t>2025-04-16</t>
  </si>
  <si>
    <t>ORD00237</t>
  </si>
  <si>
    <t>ORD00238</t>
  </si>
  <si>
    <t>2025-04-22</t>
  </si>
  <si>
    <t>ORD00239</t>
  </si>
  <si>
    <t>ORD00240</t>
  </si>
  <si>
    <t>2025-07-13</t>
  </si>
  <si>
    <t>ORD00241</t>
  </si>
  <si>
    <t>2025-04-25</t>
  </si>
  <si>
    <t>CUST0214</t>
  </si>
  <si>
    <t>ORD00242</t>
  </si>
  <si>
    <t>2025-04-28</t>
  </si>
  <si>
    <t>ORD00243</t>
  </si>
  <si>
    <t>ORD00244</t>
  </si>
  <si>
    <t>2025-11-03</t>
  </si>
  <si>
    <t>ORD00245</t>
  </si>
  <si>
    <t>2025-01-29</t>
  </si>
  <si>
    <t>ORD00246</t>
  </si>
  <si>
    <t>ORD00247</t>
  </si>
  <si>
    <t>2025-03-31</t>
  </si>
  <si>
    <t>CUST0161</t>
  </si>
  <si>
    <t>ORD00248</t>
  </si>
  <si>
    <t>ORD00249</t>
  </si>
  <si>
    <t>CUST0207</t>
  </si>
  <si>
    <t>ORD00250</t>
  </si>
  <si>
    <t>CUST0053</t>
  </si>
  <si>
    <t>ORD00251</t>
  </si>
  <si>
    <t>ORD00252</t>
  </si>
  <si>
    <t>2025-06-20</t>
  </si>
  <si>
    <t>CUST0078</t>
  </si>
  <si>
    <t>ORD00253</t>
  </si>
  <si>
    <t>2025-12-27</t>
  </si>
  <si>
    <t>ORD00254</t>
  </si>
  <si>
    <t>2025-11-29</t>
  </si>
  <si>
    <t>ORD00255</t>
  </si>
  <si>
    <t>ORD00256</t>
  </si>
  <si>
    <t>2025-03-16</t>
  </si>
  <si>
    <t>ORD00257</t>
  </si>
  <si>
    <t>ORD00258</t>
  </si>
  <si>
    <t>2025-09-09</t>
  </si>
  <si>
    <t>ORD00259</t>
  </si>
  <si>
    <t>ORD00260</t>
  </si>
  <si>
    <t>ORD00261</t>
  </si>
  <si>
    <t>ORD00262</t>
  </si>
  <si>
    <t>ORD00263</t>
  </si>
  <si>
    <t>2025-03-18</t>
  </si>
  <si>
    <t>ORD00264</t>
  </si>
  <si>
    <t>ORD00265</t>
  </si>
  <si>
    <t>ORD00266</t>
  </si>
  <si>
    <t>ORD00267</t>
  </si>
  <si>
    <t>2025-02-08</t>
  </si>
  <si>
    <t>CUST0176</t>
  </si>
  <si>
    <t>ORD00268</t>
  </si>
  <si>
    <t>2025-12-31</t>
  </si>
  <si>
    <t>ORD00269</t>
  </si>
  <si>
    <t>2025-12-13</t>
  </si>
  <si>
    <t>CUST0230</t>
  </si>
  <si>
    <t>ORD00270</t>
  </si>
  <si>
    <t>CUST0060</t>
  </si>
  <si>
    <t>ORD00271</t>
  </si>
  <si>
    <t>ORD00272</t>
  </si>
  <si>
    <t>2025-12-05</t>
  </si>
  <si>
    <t>ORD00273</t>
  </si>
  <si>
    <t>CUST0201</t>
  </si>
  <si>
    <t>ORD00274</t>
  </si>
  <si>
    <t>CUST0093</t>
  </si>
  <si>
    <t>ORD00275</t>
  </si>
  <si>
    <t>ORD00276</t>
  </si>
  <si>
    <t>2025-06-16</t>
  </si>
  <si>
    <t>CUST0222</t>
  </si>
  <si>
    <t>ORD00277</t>
  </si>
  <si>
    <t>2025-05-05</t>
  </si>
  <si>
    <t>ORD00278</t>
  </si>
  <si>
    <t>CUST0017</t>
  </si>
  <si>
    <t>ORD00279</t>
  </si>
  <si>
    <t>2025-05-09</t>
  </si>
  <si>
    <t>CUST0242</t>
  </si>
  <si>
    <t>ORD00280</t>
  </si>
  <si>
    <t>2025-01-04</t>
  </si>
  <si>
    <t>ORD00281</t>
  </si>
  <si>
    <t>CUST0250</t>
  </si>
  <si>
    <t>ORD00282</t>
  </si>
  <si>
    <t>CUST0075</t>
  </si>
  <si>
    <t>ORD00283</t>
  </si>
  <si>
    <t>ORD00284</t>
  </si>
  <si>
    <t>ORD00285</t>
  </si>
  <si>
    <t>2025-08-05</t>
  </si>
  <si>
    <t>ORD00286</t>
  </si>
  <si>
    <t>2025-12-21</t>
  </si>
  <si>
    <t>ORD00287</t>
  </si>
  <si>
    <t>ORD00288</t>
  </si>
  <si>
    <t>ORD00289</t>
  </si>
  <si>
    <t>ORD00290</t>
  </si>
  <si>
    <t>ORD00291</t>
  </si>
  <si>
    <t>2025-08-20</t>
  </si>
  <si>
    <t>CUST0082</t>
  </si>
  <si>
    <t>ORD00292</t>
  </si>
  <si>
    <t>ORD00293</t>
  </si>
  <si>
    <t>2025-08-07</t>
  </si>
  <si>
    <t>ORD00294</t>
  </si>
  <si>
    <t>CUST0102</t>
  </si>
  <si>
    <t>ORD00295</t>
  </si>
  <si>
    <t>2025-04-20</t>
  </si>
  <si>
    <t>ORD00296</t>
  </si>
  <si>
    <t>ORD00297</t>
  </si>
  <si>
    <t>2025-10-28</t>
  </si>
  <si>
    <t>ORD00298</t>
  </si>
  <si>
    <t>ORD00299</t>
  </si>
  <si>
    <t>ORD00300</t>
  </si>
  <si>
    <t>2025-09-07</t>
  </si>
  <si>
    <t>ORD00301</t>
  </si>
  <si>
    <t>CUST0014</t>
  </si>
  <si>
    <t>ORD00302</t>
  </si>
  <si>
    <t>2025-12-01</t>
  </si>
  <si>
    <t>ORD00303</t>
  </si>
  <si>
    <t>2025-10-17</t>
  </si>
  <si>
    <t>ORD00304</t>
  </si>
  <si>
    <t>ORD00305</t>
  </si>
  <si>
    <t>2025-08-14</t>
  </si>
  <si>
    <t>ORD00306</t>
  </si>
  <si>
    <t>2025-06-28</t>
  </si>
  <si>
    <t>CUST0221</t>
  </si>
  <si>
    <t>ORD00307</t>
  </si>
  <si>
    <t>2025-11-20</t>
  </si>
  <si>
    <t>ORD00308</t>
  </si>
  <si>
    <t>CUST0153</t>
  </si>
  <si>
    <t>ORD00309</t>
  </si>
  <si>
    <t>2025-02-18</t>
  </si>
  <si>
    <t>CUST0035</t>
  </si>
  <si>
    <t>ORD00310</t>
  </si>
  <si>
    <t>ORD00311</t>
  </si>
  <si>
    <t>CUST0116</t>
  </si>
  <si>
    <t>ORD00312</t>
  </si>
  <si>
    <t>ORD00313</t>
  </si>
  <si>
    <t>ORD00314</t>
  </si>
  <si>
    <t>ORD00315</t>
  </si>
  <si>
    <t>ORD00316</t>
  </si>
  <si>
    <t>ORD00317</t>
  </si>
  <si>
    <t>ORD00318</t>
  </si>
  <si>
    <t>2025-01-01</t>
  </si>
  <si>
    <t>ORD00319</t>
  </si>
  <si>
    <t>ORD00320</t>
  </si>
  <si>
    <t>ORD00321</t>
  </si>
  <si>
    <t>ORD00322</t>
  </si>
  <si>
    <t>2025-12-18</t>
  </si>
  <si>
    <t>ORD00323</t>
  </si>
  <si>
    <t>CUST0247</t>
  </si>
  <si>
    <t>ORD00324</t>
  </si>
  <si>
    <t>2025-11-04</t>
  </si>
  <si>
    <t>ORD00325</t>
  </si>
  <si>
    <t>CUST0166</t>
  </si>
  <si>
    <t>ORD00326</t>
  </si>
  <si>
    <t>2025-11-01</t>
  </si>
  <si>
    <t>CUST0019</t>
  </si>
  <si>
    <t>ORD00327</t>
  </si>
  <si>
    <t>2025-12-16</t>
  </si>
  <si>
    <t>ORD00328</t>
  </si>
  <si>
    <t>2025-01-31</t>
  </si>
  <si>
    <t>ORD00329</t>
  </si>
  <si>
    <t>2025-10-02</t>
  </si>
  <si>
    <t>CUST0138</t>
  </si>
  <si>
    <t>ORD00330</t>
  </si>
  <si>
    <t>ORD00331</t>
  </si>
  <si>
    <t>2025-08-11</t>
  </si>
  <si>
    <t>ORD00332</t>
  </si>
  <si>
    <t>ORD00333</t>
  </si>
  <si>
    <t>2025-05-18</t>
  </si>
  <si>
    <t>ORD00334</t>
  </si>
  <si>
    <t>ORD00335</t>
  </si>
  <si>
    <t>2025-03-27</t>
  </si>
  <si>
    <t>ORD00336</t>
  </si>
  <si>
    <t>2025-05-06</t>
  </si>
  <si>
    <t>CUST0012</t>
  </si>
  <si>
    <t>ORD00337</t>
  </si>
  <si>
    <t>2025-12-02</t>
  </si>
  <si>
    <t>ORD00338</t>
  </si>
  <si>
    <t>2025-07-10</t>
  </si>
  <si>
    <t>ORD00339</t>
  </si>
  <si>
    <t>2025-06-09</t>
  </si>
  <si>
    <t>ORD00340</t>
  </si>
  <si>
    <t>2025-11-15</t>
  </si>
  <si>
    <t>ORD00341</t>
  </si>
  <si>
    <t>ORD00342</t>
  </si>
  <si>
    <t>2025-06-07</t>
  </si>
  <si>
    <t>ORD00343</t>
  </si>
  <si>
    <t>ORD00344</t>
  </si>
  <si>
    <t>ORD00345</t>
  </si>
  <si>
    <t>2025-05-14</t>
  </si>
  <si>
    <t>ORD00346</t>
  </si>
  <si>
    <t>2025-04-14</t>
  </si>
  <si>
    <t>ORD00347</t>
  </si>
  <si>
    <t>ORD00348</t>
  </si>
  <si>
    <t>ORD00349</t>
  </si>
  <si>
    <t>2025-07-02</t>
  </si>
  <si>
    <t>ORD00350</t>
  </si>
  <si>
    <t>2025-10-09</t>
  </si>
  <si>
    <t>ORD00351</t>
  </si>
  <si>
    <t>ORD00352</t>
  </si>
  <si>
    <t>2025-11-27</t>
  </si>
  <si>
    <t>ORD00353</t>
  </si>
  <si>
    <t>ORD00354</t>
  </si>
  <si>
    <t>CUST0071</t>
  </si>
  <si>
    <t>ORD00355</t>
  </si>
  <si>
    <t>2025-09-13</t>
  </si>
  <si>
    <t>CUST0106</t>
  </si>
  <si>
    <t>ORD00356</t>
  </si>
  <si>
    <t>ORD00357</t>
  </si>
  <si>
    <t>CUST0234</t>
  </si>
  <si>
    <t>ORD00358</t>
  </si>
  <si>
    <t>2025-01-16</t>
  </si>
  <si>
    <t>ORD00359</t>
  </si>
  <si>
    <t>CUST0169</t>
  </si>
  <si>
    <t>ORD00360</t>
  </si>
  <si>
    <t>ORD00361</t>
  </si>
  <si>
    <t>ORD00362</t>
  </si>
  <si>
    <t>2025-04-23</t>
  </si>
  <si>
    <t>ORD00363</t>
  </si>
  <si>
    <t>2025-06-15</t>
  </si>
  <si>
    <t>ORD00364</t>
  </si>
  <si>
    <t>ORD00365</t>
  </si>
  <si>
    <t>ORD00366</t>
  </si>
  <si>
    <t>ORD00367</t>
  </si>
  <si>
    <t>2025-06-12</t>
  </si>
  <si>
    <t>ORD00368</t>
  </si>
  <si>
    <t>ORD00369</t>
  </si>
  <si>
    <t>ORD00370</t>
  </si>
  <si>
    <t>ORD00371</t>
  </si>
  <si>
    <t>ORD00372</t>
  </si>
  <si>
    <t>CUST0244</t>
  </si>
  <si>
    <t>ORD00373</t>
  </si>
  <si>
    <t>ORD00374</t>
  </si>
  <si>
    <t>2025-11-07</t>
  </si>
  <si>
    <t>ORD00375</t>
  </si>
  <si>
    <t>ORD00376</t>
  </si>
  <si>
    <t>CUST0216</t>
  </si>
  <si>
    <t>ORD00377</t>
  </si>
  <si>
    <t>ORD00378</t>
  </si>
  <si>
    <t>ORD00379</t>
  </si>
  <si>
    <t>ORD00380</t>
  </si>
  <si>
    <t>ORD00381</t>
  </si>
  <si>
    <t>ORD00382</t>
  </si>
  <si>
    <t>2025-09-01</t>
  </si>
  <si>
    <t>ORD00383</t>
  </si>
  <si>
    <t>2025-09-22</t>
  </si>
  <si>
    <t>ORD00384</t>
  </si>
  <si>
    <t>ORD00385</t>
  </si>
  <si>
    <t>CUST0023</t>
  </si>
  <si>
    <t>ORD00386</t>
  </si>
  <si>
    <t>ORD00387</t>
  </si>
  <si>
    <t>CUST0202</t>
  </si>
  <si>
    <t>ORD00388</t>
  </si>
  <si>
    <t>ORD00389</t>
  </si>
  <si>
    <t>ORD00390</t>
  </si>
  <si>
    <t>CUST0072</t>
  </si>
  <si>
    <t>ORD00391</t>
  </si>
  <si>
    <t>CUST0155</t>
  </si>
  <si>
    <t>ORD00392</t>
  </si>
  <si>
    <t>ORD00393</t>
  </si>
  <si>
    <t>CUST0215</t>
  </si>
  <si>
    <t>ORD00394</t>
  </si>
  <si>
    <t>ORD00395</t>
  </si>
  <si>
    <t>2025-08-17</t>
  </si>
  <si>
    <t>CUST0046</t>
  </si>
  <si>
    <t>ORD00396</t>
  </si>
  <si>
    <t>ORD00397</t>
  </si>
  <si>
    <t>2025-09-20</t>
  </si>
  <si>
    <t>ORD00398</t>
  </si>
  <si>
    <t>ORD00399</t>
  </si>
  <si>
    <t>ORD00400</t>
  </si>
  <si>
    <t>ORD00401</t>
  </si>
  <si>
    <t>CUST0077</t>
  </si>
  <si>
    <t>ORD00402</t>
  </si>
  <si>
    <t>ORD00403</t>
  </si>
  <si>
    <t>2025-01-19</t>
  </si>
  <si>
    <t>CUST0150</t>
  </si>
  <si>
    <t>ORD00404</t>
  </si>
  <si>
    <t>ORD00405</t>
  </si>
  <si>
    <t>ORD00406</t>
  </si>
  <si>
    <t>2025-10-27</t>
  </si>
  <si>
    <t>ORD00407</t>
  </si>
  <si>
    <t>2025-09-14</t>
  </si>
  <si>
    <t>ORD00408</t>
  </si>
  <si>
    <t>ORD00409</t>
  </si>
  <si>
    <t>ORD00410</t>
  </si>
  <si>
    <t>ORD00411</t>
  </si>
  <si>
    <t>2025-07-16</t>
  </si>
  <si>
    <t>ORD00412</t>
  </si>
  <si>
    <t>2025-01-03</t>
  </si>
  <si>
    <t>ORD00413</t>
  </si>
  <si>
    <t>CUST0079</t>
  </si>
  <si>
    <t>ORD00414</t>
  </si>
  <si>
    <t>ORD00415</t>
  </si>
  <si>
    <t>2025-07-26</t>
  </si>
  <si>
    <t>ORD00416</t>
  </si>
  <si>
    <t>CUST0094</t>
  </si>
  <si>
    <t>ORD00417</t>
  </si>
  <si>
    <t>ORD00418</t>
  </si>
  <si>
    <t>ORD00419</t>
  </si>
  <si>
    <t>2025-05-19</t>
  </si>
  <si>
    <t>ORD00420</t>
  </si>
  <si>
    <t>ORD00421</t>
  </si>
  <si>
    <t>2025-01-21</t>
  </si>
  <si>
    <t>CUST0141</t>
  </si>
  <si>
    <t>ORD00422</t>
  </si>
  <si>
    <t>CUST0233</t>
  </si>
  <si>
    <t>ORD00423</t>
  </si>
  <si>
    <t>ORD00424</t>
  </si>
  <si>
    <t>ORD00425</t>
  </si>
  <si>
    <t>2025-01-05</t>
  </si>
  <si>
    <t>ORD00426</t>
  </si>
  <si>
    <t>ORD00427</t>
  </si>
  <si>
    <t>2025-12-20</t>
  </si>
  <si>
    <t>ORD00428</t>
  </si>
  <si>
    <t>ORD00429</t>
  </si>
  <si>
    <t>ORD00430</t>
  </si>
  <si>
    <t>2025-06-10</t>
  </si>
  <si>
    <t>CUST0004</t>
  </si>
  <si>
    <t>ORD00431</t>
  </si>
  <si>
    <t>ORD00432</t>
  </si>
  <si>
    <t>2025-08-29</t>
  </si>
  <si>
    <t>ORD00433</t>
  </si>
  <si>
    <t>2025-01-26</t>
  </si>
  <si>
    <t>ORD00434</t>
  </si>
  <si>
    <t>ORD00435</t>
  </si>
  <si>
    <t>2025-07-31</t>
  </si>
  <si>
    <t>ORD00436</t>
  </si>
  <si>
    <t>ORD00437</t>
  </si>
  <si>
    <t>ORD00438</t>
  </si>
  <si>
    <t>ORD00439</t>
  </si>
  <si>
    <t>ORD00440</t>
  </si>
  <si>
    <t>ORD00441</t>
  </si>
  <si>
    <t>ORD00442</t>
  </si>
  <si>
    <t>2025-09-18</t>
  </si>
  <si>
    <t>CUST0200</t>
  </si>
  <si>
    <t>ORD00443</t>
  </si>
  <si>
    <t>ORD00444</t>
  </si>
  <si>
    <t>ORD00445</t>
  </si>
  <si>
    <t>2025-05-29</t>
  </si>
  <si>
    <t>ORD00446</t>
  </si>
  <si>
    <t>ORD00447</t>
  </si>
  <si>
    <t>ORD00448</t>
  </si>
  <si>
    <t>ORD00449</t>
  </si>
  <si>
    <t>2025-12-12</t>
  </si>
  <si>
    <t>ORD00450</t>
  </si>
  <si>
    <t>ORD00451</t>
  </si>
  <si>
    <t>ORD00452</t>
  </si>
  <si>
    <t>ORD00453</t>
  </si>
  <si>
    <t>CUST0042</t>
  </si>
  <si>
    <t>ORD00454</t>
  </si>
  <si>
    <t>ORD00455</t>
  </si>
  <si>
    <t>ORD00456</t>
  </si>
  <si>
    <t>ORD00457</t>
  </si>
  <si>
    <t>CUST0144</t>
  </si>
  <si>
    <t>ORD00458</t>
  </si>
  <si>
    <t>ORD00459</t>
  </si>
  <si>
    <t>CUST0115</t>
  </si>
  <si>
    <t>ORD00460</t>
  </si>
  <si>
    <t>CUST0137</t>
  </si>
  <si>
    <t>ORD00461</t>
  </si>
  <si>
    <t>ORD00462</t>
  </si>
  <si>
    <t>ORD00463</t>
  </si>
  <si>
    <t>ORD00464</t>
  </si>
  <si>
    <t>ORD00465</t>
  </si>
  <si>
    <t>ORD00466</t>
  </si>
  <si>
    <t>2025-10-01</t>
  </si>
  <si>
    <t>CUST0057</t>
  </si>
  <si>
    <t>ORD00467</t>
  </si>
  <si>
    <t>2025-11-28</t>
  </si>
  <si>
    <t>ORD00468</t>
  </si>
  <si>
    <t>ORD00469</t>
  </si>
  <si>
    <t>ORD00470</t>
  </si>
  <si>
    <t>2025-10-18</t>
  </si>
  <si>
    <t>ORD00471</t>
  </si>
  <si>
    <t>ORD00472</t>
  </si>
  <si>
    <t>CUST0231</t>
  </si>
  <si>
    <t>ORD00473</t>
  </si>
  <si>
    <t>ORD00474</t>
  </si>
  <si>
    <t>ORD00475</t>
  </si>
  <si>
    <t>CUST0199</t>
  </si>
  <si>
    <t>ORD00476</t>
  </si>
  <si>
    <t>ORD00477</t>
  </si>
  <si>
    <t>2025-07-27</t>
  </si>
  <si>
    <t>CUST0197</t>
  </si>
  <si>
    <t>ORD00478</t>
  </si>
  <si>
    <t>2025-07-07</t>
  </si>
  <si>
    <t>CUST0101</t>
  </si>
  <si>
    <t>ORD00479</t>
  </si>
  <si>
    <t>2025-09-15</t>
  </si>
  <si>
    <t>ORD00480</t>
  </si>
  <si>
    <t>ORD00481</t>
  </si>
  <si>
    <t>ORD00482</t>
  </si>
  <si>
    <t>ORD00483</t>
  </si>
  <si>
    <t>ORD00484</t>
  </si>
  <si>
    <t>ORD00485</t>
  </si>
  <si>
    <t>ORD00486</t>
  </si>
  <si>
    <t>2025-03-02</t>
  </si>
  <si>
    <t>ORD00487</t>
  </si>
  <si>
    <t>2025-10-30</t>
  </si>
  <si>
    <t>ORD00488</t>
  </si>
  <si>
    <t>CUST0011</t>
  </si>
  <si>
    <t>ORD00489</t>
  </si>
  <si>
    <t>ORD00490</t>
  </si>
  <si>
    <t>ORD00491</t>
  </si>
  <si>
    <t>ORD00492</t>
  </si>
  <si>
    <t>ORD00493</t>
  </si>
  <si>
    <t>ORD00494</t>
  </si>
  <si>
    <t>ORD00495</t>
  </si>
  <si>
    <t>CUST0206</t>
  </si>
  <si>
    <t>ORD00496</t>
  </si>
  <si>
    <t>ORD00497</t>
  </si>
  <si>
    <t>ORD00498</t>
  </si>
  <si>
    <t>ORD00499</t>
  </si>
  <si>
    <t>ORD00500</t>
  </si>
  <si>
    <t>CUST0065</t>
  </si>
  <si>
    <t>Project</t>
  </si>
  <si>
    <t>Purpose</t>
  </si>
  <si>
    <t>Rows</t>
  </si>
  <si>
    <t>Period</t>
  </si>
  <si>
    <t>Currency</t>
  </si>
  <si>
    <t>Supermarket Sales Analysis</t>
  </si>
  <si>
    <t>Practice Excel data cleaning, formulas, PivotTables, charts and dashboard creation</t>
  </si>
  <si>
    <t>January–December 2025</t>
  </si>
  <si>
    <t>South African Rand (ZAR)</t>
  </si>
  <si>
    <t>Check</t>
  </si>
  <si>
    <t>Action</t>
  </si>
  <si>
    <t>Result</t>
  </si>
  <si>
    <t>Duplicate Order IDs</t>
  </si>
  <si>
    <t>Checked for duplicates</t>
  </si>
  <si>
    <t>None found</t>
  </si>
  <si>
    <t>Missing Order IDs</t>
  </si>
  <si>
    <t>Checked for blanks</t>
  </si>
  <si>
    <t>Missing dates</t>
  </si>
  <si>
    <t>Date format</t>
  </si>
  <si>
    <t>Standardized</t>
  </si>
  <si>
    <t>YYYY-MM-DD</t>
  </si>
  <si>
    <t>Formatted as ZAR</t>
  </si>
  <si>
    <t>Completed</t>
  </si>
  <si>
    <t>Formatted as percentage</t>
  </si>
  <si>
    <t>Sales calculations</t>
  </si>
  <si>
    <t>Verified formulas</t>
  </si>
  <si>
    <t>Passed</t>
  </si>
  <si>
    <t>Categories</t>
  </si>
  <si>
    <t>Checked consistency</t>
  </si>
  <si>
    <t>Consistent</t>
  </si>
  <si>
    <t>check list</t>
  </si>
  <si>
    <t>Total sales</t>
  </si>
  <si>
    <t>Total Orders</t>
  </si>
  <si>
    <t>Average Order Value</t>
  </si>
  <si>
    <t>Grand Total</t>
  </si>
  <si>
    <t>Sum of Net_Sales_ZAR</t>
  </si>
  <si>
    <t>Best Performing Cartegory</t>
  </si>
  <si>
    <t>Business Insight</t>
  </si>
  <si>
    <t>Accessories generated the highest net sales, making it the best-performing product category.</t>
  </si>
  <si>
    <t>Best Performing Product</t>
  </si>
  <si>
    <t xml:space="preserve">Product Net Sales </t>
  </si>
  <si>
    <t>Handbags generated the highest net sales of all individual products.</t>
  </si>
  <si>
    <t>Best Performing Region</t>
  </si>
  <si>
    <t xml:space="preserve">Region Net Sales </t>
  </si>
  <si>
    <t>Eastern Cape generated the hihest net sales among all regions.</t>
  </si>
  <si>
    <t>Month</t>
  </si>
  <si>
    <t>February</t>
  </si>
  <si>
    <t>November</t>
  </si>
  <si>
    <t>December</t>
  </si>
  <si>
    <t>October</t>
  </si>
  <si>
    <t>May</t>
  </si>
  <si>
    <t>September</t>
  </si>
  <si>
    <t>March</t>
  </si>
  <si>
    <t>July</t>
  </si>
  <si>
    <t>August</t>
  </si>
  <si>
    <t>April</t>
  </si>
  <si>
    <t>January</t>
  </si>
  <si>
    <t>June</t>
  </si>
  <si>
    <t>Best Sales Month</t>
  </si>
  <si>
    <t>November Sales</t>
  </si>
  <si>
    <t>November generated the highest monthly net sales.</t>
  </si>
  <si>
    <t>SALES PERFORMANCE DASHBOARD</t>
  </si>
  <si>
    <t>Total Sales</t>
  </si>
  <si>
    <t>Best Category</t>
  </si>
  <si>
    <t>Sales Analysis|2025</t>
  </si>
  <si>
    <t>KEY INSIGHT</t>
  </si>
  <si>
    <r>
      <rPr>
        <b/>
        <sz val="11"/>
        <color theme="1"/>
        <rFont val="Calibri"/>
        <family val="2"/>
        <scheme val="minor"/>
      </rPr>
      <t>Accessories</t>
    </r>
    <r>
      <rPr>
        <sz val="11"/>
        <color theme="1"/>
        <rFont val="Calibri"/>
        <family val="2"/>
        <scheme val="minor"/>
      </rPr>
      <t xml:space="preserve"> was top-performing category.</t>
    </r>
  </si>
  <si>
    <r>
      <rPr>
        <b/>
        <sz val="11"/>
        <color theme="1"/>
        <rFont val="Calibri"/>
        <family val="2"/>
        <scheme val="minor"/>
      </rPr>
      <t>Handbags</t>
    </r>
    <r>
      <rPr>
        <sz val="11"/>
        <color theme="1"/>
        <rFont val="Calibri"/>
        <family val="2"/>
        <scheme val="minor"/>
      </rPr>
      <t xml:space="preserve"> generated the highest sales among individual products.</t>
    </r>
  </si>
  <si>
    <r>
      <rPr>
        <b/>
        <sz val="11"/>
        <color theme="1"/>
        <rFont val="Calibri"/>
        <family val="2"/>
        <scheme val="minor"/>
      </rPr>
      <t>Eastern Cape</t>
    </r>
    <r>
      <rPr>
        <sz val="11"/>
        <color theme="1"/>
        <rFont val="Calibri"/>
        <family val="2"/>
        <scheme val="minor"/>
      </rPr>
      <t xml:space="preserve"> was the highest-performing region.</t>
    </r>
  </si>
  <si>
    <r>
      <rPr>
        <b/>
        <sz val="11"/>
        <color theme="1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recorded the highest monthly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</si>
</sst>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&quot;#,##0.00;[Red]\-&quot;R&quot;#,##0.00"/>
    <numFmt numFmtId="164" formatCode="&quot;R&quot;#,##0.00;[Red]&quot;R&quot;#,##0.00"/>
    <numFmt numFmtId="165" formatCode="0.0;[Red]0.0"/>
    <numFmt numFmtId="166" formatCode="0.0%"/>
    <numFmt numFmtId="167" formatCode="&quot;R&quot;#,##0.00"/>
    <numFmt numFmtId="170" formatCode="_-[$R-1C09]* #,##0.0_-;\-[$R-1C09]* #,##0.0_-;_-[$R-1C09]* &quot;-&quot;?_-;_-@_-"/>
    <numFmt numFmtId="171" formatCode="&quot;R&quot;#,##0.0;[Red]&quot;R&quot;#,##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164" fontId="0" fillId="0" borderId="0" xfId="0" applyNumberFormat="1"/>
    <xf numFmtId="165" fontId="2" fillId="2" borderId="0" xfId="0" applyNumberFormat="1" applyFont="1" applyFill="1"/>
    <xf numFmtId="165" fontId="0" fillId="0" borderId="0" xfId="0" applyNumberFormat="1"/>
    <xf numFmtId="166" fontId="2" fillId="2" borderId="0" xfId="0" applyNumberFormat="1" applyFont="1" applyFill="1"/>
    <xf numFmtId="166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" fillId="0" borderId="0" xfId="0" applyNumberFormat="1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14" fontId="0" fillId="0" borderId="0" xfId="0" applyNumberFormat="1"/>
    <xf numFmtId="0" fontId="3" fillId="0" borderId="0" xfId="0" applyFont="1"/>
    <xf numFmtId="170" fontId="0" fillId="0" borderId="0" xfId="0" applyNumberFormat="1"/>
    <xf numFmtId="171" fontId="0" fillId="0" borderId="0" xfId="0" applyNumberFormat="1"/>
    <xf numFmtId="0" fontId="4" fillId="0" borderId="0" xfId="0" applyFont="1"/>
    <xf numFmtId="0" fontId="5" fillId="0" borderId="0" xfId="0" applyFont="1"/>
    <xf numFmtId="8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27">
    <dxf>
      <numFmt numFmtId="171" formatCode="&quot;R&quot;#,##0.0;[Red]&quot;R&quot;#,##0.0"/>
    </dxf>
    <dxf>
      <numFmt numFmtId="171" formatCode="&quot;R&quot;#,##0.0;[Red]&quot;R&quot;#,##0.0"/>
    </dxf>
    <dxf>
      <numFmt numFmtId="171" formatCode="&quot;R&quot;#,##0.0;[Red]&quot;R&quot;#,##0.0"/>
    </dxf>
    <dxf>
      <numFmt numFmtId="169" formatCode="_-[$R-1C09]* #,##0.00_-;\-[$R-1C09]* #,##0.00_-;_-[$R-1C09]* &quot;-&quot;??_-;_-@_-"/>
    </dxf>
    <dxf>
      <numFmt numFmtId="170" formatCode="_-[$R-1C09]* #,##0.0_-;\-[$R-1C09]* #,##0.0_-;_-[$R-1C09]* &quot;-&quot;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6" formatCode="0.0%"/>
    </dxf>
    <dxf>
      <numFmt numFmtId="164" formatCode="&quot;R&quot;#,##0.00;[Red]&quot;R&quot;#,##0.00"/>
    </dxf>
    <dxf>
      <numFmt numFmtId="165" formatCode="0.0;[Red]0.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64" formatCode="&quot;R&quot;#,##0.00;[Red]&quot;R&quot;#,##0.00"/>
    </dxf>
    <dxf>
      <numFmt numFmtId="19" formatCode="yyyy/mm/dd"/>
    </dxf>
    <dxf>
      <numFmt numFmtId="19" formatCode="yyyy/mm/dd"/>
    </dxf>
    <dxf>
      <numFmt numFmtId="164" formatCode="&quot;R&quot;#,##0.00;[Red]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R&quot;#,##0.00;[Red]&quot;R&quot;#,##0.00"/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[Supermarket_Sales_Analysis_Excel_Dataset clean.xlsx]Pivot_Category!PivotTable1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by Product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Pivot_Category!$A$4:$A$9</c:f>
              <c:strCache>
                <c:ptCount val="5"/>
                <c:pt idx="0">
                  <c:v>Accessories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Pivot_Category!$B$4:$B$9</c:f>
              <c:numCache>
                <c:formatCode>"R"#\ ##0.00;[Red]"R"#\ ##0.00</c:formatCode>
                <c:ptCount val="5"/>
                <c:pt idx="0">
                  <c:v>69827.100000000006</c:v>
                </c:pt>
                <c:pt idx="1">
                  <c:v>63075.259999999973</c:v>
                </c:pt>
                <c:pt idx="2">
                  <c:v>35238.229999999996</c:v>
                </c:pt>
                <c:pt idx="3">
                  <c:v>42069.25</c:v>
                </c:pt>
                <c:pt idx="4">
                  <c:v>39352.629999999997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9-4FEF-86B4-177550D3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137616"/>
        <c:axId val="873294960"/>
      </c:barChart>
      <c:catAx>
        <c:axId val="88813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94960"/>
        <c:crosses val="autoZero"/>
        <c:auto val="1"/>
        <c:lblAlgn val="ctr"/>
        <c:lblOffset val="100"/>
        <c:noMultiLvlLbl val="0"/>
      </c:catAx>
      <c:valAx>
        <c:axId val="8732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;[Red]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[Supermarket_Sales_Analysis_Excel_Dataset clean.xlsx]Pivot_Product!PivotTable2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Pivot_Product!$A$4:$A$23</c:f>
              <c:strCache>
                <c:ptCount val="19"/>
                <c:pt idx="0">
                  <c:v>Blush</c:v>
                </c:pt>
                <c:pt idx="1">
                  <c:v>Body Lotion</c:v>
                </c:pt>
                <c:pt idx="2">
                  <c:v>Body Mist</c:v>
                </c:pt>
                <c:pt idx="3">
                  <c:v>Conditioner</c:v>
                </c:pt>
                <c:pt idx="4">
                  <c:v>Edge Control</c:v>
                </c:pt>
                <c:pt idx="5">
                  <c:v>Face Wash</c:v>
                </c:pt>
                <c:pt idx="6">
                  <c:v>Foundation</c:v>
                </c:pt>
                <c:pt idx="7">
                  <c:v>Glycolic Toner</c:v>
                </c:pt>
                <c:pt idx="8">
                  <c:v>Hair Clips</c:v>
                </c:pt>
                <c:pt idx="9">
                  <c:v>Hair Mask</c:v>
                </c:pt>
                <c:pt idx="10">
                  <c:v>Handbag</c:v>
                </c:pt>
                <c:pt idx="11">
                  <c:v>Jewellery Set</c:v>
                </c:pt>
                <c:pt idx="12">
                  <c:v>Lip Gloss</c:v>
                </c:pt>
                <c:pt idx="13">
                  <c:v>Mascara</c:v>
                </c:pt>
                <c:pt idx="14">
                  <c:v>Moisturizer</c:v>
                </c:pt>
                <c:pt idx="15">
                  <c:v>Perfume</c:v>
                </c:pt>
                <c:pt idx="16">
                  <c:v>Shampoo</c:v>
                </c:pt>
                <c:pt idx="17">
                  <c:v>Sunglasses</c:v>
                </c:pt>
                <c:pt idx="18">
                  <c:v>Sunscreen</c:v>
                </c:pt>
              </c:strCache>
            </c:strRef>
          </c:cat>
          <c:val>
            <c:numRef>
              <c:f>Pivot_Product!$B$4:$B$23</c:f>
              <c:numCache>
                <c:formatCode>"R"#\ ##0.00;[Red]"R"#\ ##0.00</c:formatCode>
                <c:ptCount val="19"/>
                <c:pt idx="0">
                  <c:v>9327.1299999999974</c:v>
                </c:pt>
                <c:pt idx="1">
                  <c:v>8974.07</c:v>
                </c:pt>
                <c:pt idx="2">
                  <c:v>21357.310000000005</c:v>
                </c:pt>
                <c:pt idx="3">
                  <c:v>7611.75</c:v>
                </c:pt>
                <c:pt idx="4">
                  <c:v>4891.3799999999992</c:v>
                </c:pt>
                <c:pt idx="5">
                  <c:v>9772.8799999999974</c:v>
                </c:pt>
                <c:pt idx="6">
                  <c:v>10736.39</c:v>
                </c:pt>
                <c:pt idx="7">
                  <c:v>10373.119999999997</c:v>
                </c:pt>
                <c:pt idx="8">
                  <c:v>3016.8899999999994</c:v>
                </c:pt>
                <c:pt idx="9">
                  <c:v>13900.990000000003</c:v>
                </c:pt>
                <c:pt idx="10">
                  <c:v>36859.07</c:v>
                </c:pt>
                <c:pt idx="11">
                  <c:v>16061.84</c:v>
                </c:pt>
                <c:pt idx="12">
                  <c:v>13444.459999999994</c:v>
                </c:pt>
                <c:pt idx="13">
                  <c:v>8561.2699999999986</c:v>
                </c:pt>
                <c:pt idx="14">
                  <c:v>7064.9499999999989</c:v>
                </c:pt>
                <c:pt idx="15">
                  <c:v>32743.880000000012</c:v>
                </c:pt>
                <c:pt idx="16">
                  <c:v>8834.1099999999988</c:v>
                </c:pt>
                <c:pt idx="17">
                  <c:v>13889.299999999997</c:v>
                </c:pt>
                <c:pt idx="18">
                  <c:v>12141.680000000002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A-4390-9591-F6F8AFB4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852304"/>
        <c:axId val="873331920"/>
      </c:barChart>
      <c:catAx>
        <c:axId val="9498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31920"/>
        <c:crosses val="autoZero"/>
        <c:auto val="1"/>
        <c:lblAlgn val="ctr"/>
        <c:lblOffset val="100"/>
        <c:noMultiLvlLbl val="0"/>
      </c:catAx>
      <c:valAx>
        <c:axId val="8733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;[Red]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85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[Supermarket_Sales_Analysis_Excel_Dataset clean.xlsx]Pivot_Region!PivotTable3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Pivot_Region!$A$4:$A$9</c:f>
              <c:strCache>
                <c:ptCount val="5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Limpopo</c:v>
                </c:pt>
                <c:pt idx="4">
                  <c:v>Western Cape</c:v>
                </c:pt>
              </c:strCache>
            </c:strRef>
          </c:cat>
          <c:val>
            <c:numRef>
              <c:f>Pivot_Region!$B$4:$B$9</c:f>
              <c:numCache>
                <c:formatCode>"R"#\ ##0.00;[Red]"R"#\ ##0.00</c:formatCode>
                <c:ptCount val="5"/>
                <c:pt idx="0">
                  <c:v>58896.689999999988</c:v>
                </c:pt>
                <c:pt idx="1">
                  <c:v>42602.020000000004</c:v>
                </c:pt>
                <c:pt idx="2">
                  <c:v>56487.23</c:v>
                </c:pt>
                <c:pt idx="3">
                  <c:v>43795.06</c:v>
                </c:pt>
                <c:pt idx="4">
                  <c:v>47781.47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B-4F52-BC24-7B009A6DB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349200"/>
        <c:axId val="873321360"/>
      </c:barChart>
      <c:catAx>
        <c:axId val="9573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21360"/>
        <c:crosses val="autoZero"/>
        <c:auto val="1"/>
        <c:lblAlgn val="ctr"/>
        <c:lblOffset val="100"/>
        <c:noMultiLvlLbl val="0"/>
      </c:catAx>
      <c:valAx>
        <c:axId val="8733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;[Red]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4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[Supermarket_Sales_Analysis_Excel_Dataset clean.xlsx]Pivot_Monthly!PivotTable1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by Month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Pivot_Monthly!$A$4:$A$16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Pivot_Monthly!$B$4:$B$16</c:f>
              <c:numCache>
                <c:formatCode>"R"#\ ##0.00;[Red]"R"#\ ##0.00</c:formatCode>
                <c:ptCount val="12"/>
                <c:pt idx="0">
                  <c:v>15568.129999999997</c:v>
                </c:pt>
                <c:pt idx="1">
                  <c:v>23824.290000000008</c:v>
                </c:pt>
                <c:pt idx="2">
                  <c:v>18521.619999999995</c:v>
                </c:pt>
                <c:pt idx="3">
                  <c:v>15140.379999999994</c:v>
                </c:pt>
                <c:pt idx="4">
                  <c:v>15042.909999999996</c:v>
                </c:pt>
                <c:pt idx="5">
                  <c:v>15880.189999999993</c:v>
                </c:pt>
                <c:pt idx="6">
                  <c:v>23568</c:v>
                </c:pt>
                <c:pt idx="7">
                  <c:v>23280.46</c:v>
                </c:pt>
                <c:pt idx="8">
                  <c:v>24168.060000000009</c:v>
                </c:pt>
                <c:pt idx="9">
                  <c:v>23637.869999999995</c:v>
                </c:pt>
                <c:pt idx="10">
                  <c:v>26127.170000000009</c:v>
                </c:pt>
                <c:pt idx="11">
                  <c:v>24803.39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4927-BCCE-4EB5B494C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756528"/>
        <c:axId val="873344400"/>
      </c:barChart>
      <c:catAx>
        <c:axId val="95475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44400"/>
        <c:crosses val="autoZero"/>
        <c:auto val="1"/>
        <c:lblAlgn val="ctr"/>
        <c:lblOffset val="100"/>
        <c:noMultiLvlLbl val="0"/>
      </c:catAx>
      <c:valAx>
        <c:axId val="8733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;[Red]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106680</xdr:rowOff>
    </xdr:from>
    <xdr:to>
      <xdr:col>6</xdr:col>
      <xdr:colOff>617220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31E01-FDEC-4999-875B-58F184390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175260</xdr:rowOff>
    </xdr:from>
    <xdr:to>
      <xdr:col>6</xdr:col>
      <xdr:colOff>617220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1FA07-B972-4359-97EB-93764F315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5</xdr:row>
      <xdr:rowOff>114300</xdr:rowOff>
    </xdr:from>
    <xdr:to>
      <xdr:col>13</xdr:col>
      <xdr:colOff>594360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DE2726-29B9-41F8-9EF5-08C9C7E33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20</xdr:row>
      <xdr:rowOff>175260</xdr:rowOff>
    </xdr:from>
    <xdr:to>
      <xdr:col>13</xdr:col>
      <xdr:colOff>579120</xdr:colOff>
      <xdr:row>35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1E9CFB-C5DA-41EA-AC9D-FAA085AFF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lodi moletja" refreshedDate="46260.396267476855" createdVersion="8" refreshedVersion="8" minRefreshableVersion="3" recordCount="500" xr:uid="{3A111B66-ADF0-4B21-9707-6390D89F5DD4}">
  <cacheSource type="worksheet">
    <worksheetSource name="salesdata"/>
  </cacheSource>
  <cacheFields count="16">
    <cacheField name="Order_ID" numFmtId="164">
      <sharedItems/>
    </cacheField>
    <cacheField name="Order_Date" numFmtId="14">
      <sharedItems containsSemiMixedTypes="0" containsNonDate="0" containsDate="1" containsString="0" containsMixedTypes="1" minDate="2025-01-01T00:00:00" maxDate="1900-01-05T03:51:04" count="536">
        <d v="2025-02-22T00:00:00"/>
        <d v="2025-11-05T00:00:00"/>
        <d v="2025-12-24T00:00:00"/>
        <d v="2025-02-19T00:00:00"/>
        <d v="2025-10-10T00:00:00"/>
        <d v="2025-02-21T00:00:00"/>
        <d v="2025-05-17T00:00:00"/>
        <d v="2025-11-24T00:00:00"/>
        <d v="2025-02-03T00:00:00"/>
        <d v="2025-05-07T00:00:00"/>
        <d v="2025-09-10T00:00:00"/>
        <d v="2025-11-02T00:00:00"/>
        <d v="2025-03-22T00:00:00"/>
        <d v="2025-09-08T00:00:00"/>
        <d v="2025-02-13T00:00:00"/>
        <d v="2025-05-16T00:00:00"/>
        <d v="2025-07-11T00:00:00"/>
        <d v="2025-10-11T00:00:00"/>
        <d v="2025-02-06T00:00:00"/>
        <d v="2025-10-23T00:00:00"/>
        <d v="2025-07-01T00:00:00"/>
        <d v="2025-02-25T00:00:00"/>
        <d v="2025-08-25T00:00:00"/>
        <d v="2025-02-17T00:00:00"/>
        <d v="2025-03-26T00:00:00"/>
        <d v="2025-10-12T00:00:00"/>
        <d v="2025-10-05T00:00:00"/>
        <d v="2025-02-11T00:00:00"/>
        <d v="2025-12-09T00:00:00"/>
        <d v="2025-02-07T00:00:00"/>
        <d v="2025-02-05T00:00:00"/>
        <d v="2025-09-28T00:00:00"/>
        <d v="2025-03-21T00:00:00"/>
        <d v="2025-03-24T00:00:00"/>
        <d v="2025-10-07T00:00:00"/>
        <d v="2025-07-03T00:00:00"/>
        <d v="2025-04-01T00:00:00"/>
        <d v="2025-12-26T00:00:00"/>
        <d v="2025-04-27T00:00:00"/>
        <d v="2025-11-25T00:00:00"/>
        <d v="2025-01-20T00:00:00"/>
        <d v="2025-04-08T00:00:00"/>
        <d v="2025-06-19T00:00:00"/>
        <d v="2025-06-01T00:00:00"/>
        <d v="2025-06-04T00:00:00"/>
        <d v="2025-08-15T00:00:00"/>
        <d v="2025-12-11T00:00:00"/>
        <d v="2025-12-19T00:00:00"/>
        <d v="2025-05-08T00:00:00"/>
        <d v="2025-09-16T00:00:00"/>
        <d v="2025-09-24T00:00:00"/>
        <d v="2025-06-13T00:00:00"/>
        <d v="2025-02-02T00:00:00"/>
        <d v="2025-07-19T00:00:00"/>
        <d v="2025-10-03T00:00:00"/>
        <d v="2025-06-22T00:00:00"/>
        <d v="2025-10-16T00:00:00"/>
        <d v="2025-07-14T00:00:00"/>
        <d v="2025-08-27T00:00:00"/>
        <d v="2025-01-14T00:00:00"/>
        <d v="2025-11-18T00:00:00"/>
        <d v="2025-08-08T00:00:00"/>
        <d v="2025-08-10T00:00:00"/>
        <d v="2025-09-05T00:00:00"/>
        <d v="2025-08-26T00:00:00"/>
        <d v="2025-09-29T00:00:00"/>
        <d v="2025-03-03T00:00:00"/>
        <d v="2025-05-22T00:00:00"/>
        <d v="2025-01-08T00:00:00"/>
        <d v="2025-11-23T00:00:00"/>
        <d v="2025-04-05T00:00:00"/>
        <d v="2025-08-02T00:00:00"/>
        <d v="2025-11-14T00:00:00"/>
        <d v="2025-04-29T00:00:00"/>
        <d v="2025-10-06T00:00:00"/>
        <d v="2025-10-19T00:00:00"/>
        <d v="2025-10-04T00:00:00"/>
        <d v="2025-07-29T00:00:00"/>
        <d v="2025-07-25T00:00:00"/>
        <d v="2025-09-21T00:00:00"/>
        <d v="2025-11-17T00:00:00"/>
        <d v="2025-03-04T00:00:00"/>
        <d v="2025-02-28T00:00:00"/>
        <d v="2025-08-30T00:00:00"/>
        <d v="2025-08-01T00:00:00"/>
        <d v="2025-05-03T00:00:00"/>
        <d v="2025-07-17T00:00:00"/>
        <d v="2025-06-23T00:00:00"/>
        <d v="2025-11-13T00:00:00"/>
        <d v="2025-02-10T00:00:00"/>
        <d v="2025-05-11T00:00:00"/>
        <d v="2025-06-26T00:00:00"/>
        <d v="2025-02-24T00:00:00"/>
        <d v="2025-05-21T00:00:00"/>
        <d v="2025-07-06T00:00:00"/>
        <d v="2025-11-22T00:00:00"/>
        <d v="2025-12-23T00:00:00"/>
        <d v="2025-05-24T00:00:00"/>
        <d v="2025-07-08T00:00:00"/>
        <d v="2025-12-06T00:00:00"/>
        <d v="2025-04-17T00:00:00"/>
        <d v="2025-03-08T00:00:00"/>
        <d v="2025-10-29T00:00:00"/>
        <d v="2025-12-04T00:00:00"/>
        <d v="2025-08-31T00:00:00"/>
        <d v="2025-05-28T00:00:00"/>
        <d v="2025-06-29T00:00:00"/>
        <d v="2025-12-22T00:00:00"/>
        <d v="2025-03-15T00:00:00"/>
        <d v="2025-07-12T00:00:00"/>
        <d v="2025-08-06T00:00:00"/>
        <d v="2025-02-26T00:00:00"/>
        <d v="2025-08-09T00:00:00"/>
        <d v="2025-01-22T00:00:00"/>
        <d v="2025-12-30T00:00:00"/>
        <d v="2025-08-24T00:00:00"/>
        <d v="2025-09-26T00:00:00"/>
        <d v="2025-11-21T00:00:00"/>
        <d v="2025-04-12T00:00:00"/>
        <d v="2025-11-26T00:00:00"/>
        <d v="2025-06-05T00:00:00"/>
        <d v="2025-01-30T00:00:00"/>
        <d v="2025-11-30T00:00:00"/>
        <d v="2025-05-25T00:00:00"/>
        <d v="2025-10-13T00:00:00"/>
        <d v="2025-03-14T00:00:00"/>
        <d v="2025-06-08T00:00:00"/>
        <d v="2025-04-03T00:00:00"/>
        <d v="2025-05-26T00:00:00"/>
        <d v="2025-12-14T00:00:00"/>
        <d v="2025-11-06T00:00:00"/>
        <d v="2025-03-05T00:00:00"/>
        <d v="2025-04-24T00:00:00"/>
        <d v="2025-05-01T00:00:00"/>
        <d v="2025-06-21T00:00:00"/>
        <d v="2025-08-18T00:00:00"/>
        <d v="2025-11-08T00:00:00"/>
        <d v="2025-08-03T00:00:00"/>
        <d v="2025-10-22T00:00:00"/>
        <d v="2025-07-18T00:00:00"/>
        <d v="2025-12-17T00:00:00"/>
        <d v="2025-01-23T00:00:00"/>
        <d v="2025-05-10T00:00:00"/>
        <d v="2025-08-12T00:00:00"/>
        <d v="2025-06-14T00:00:00"/>
        <d v="2025-08-16T00:00:00"/>
        <d v="2025-02-04T00:00:00"/>
        <d v="2025-08-19T00:00:00"/>
        <d v="2025-07-23T00:00:00"/>
        <d v="2025-10-15T00:00:00"/>
        <d v="2025-04-13T00:00:00"/>
        <d v="2025-12-08T00:00:00"/>
        <d v="2025-04-11T00:00:00"/>
        <d v="2025-03-20T00:00:00"/>
        <d v="2025-07-24T00:00:00"/>
        <d v="2025-06-17T00:00:00"/>
        <d v="2025-09-12T00:00:00"/>
        <d v="2025-01-25T00:00:00"/>
        <d v="2025-03-10T00:00:00"/>
        <d v="2025-11-16T00:00:00"/>
        <d v="2025-08-22T00:00:00"/>
        <d v="2025-06-03T00:00:00"/>
        <d v="2025-10-26T00:00:00"/>
        <d v="2025-11-10T00:00:00"/>
        <d v="2025-09-27T00:00:00"/>
        <d v="2025-12-15T00:00:00"/>
        <d v="2025-10-21T00:00:00"/>
        <d v="2025-05-20T00:00:00"/>
        <d v="2025-01-27T00:00:00"/>
        <d v="2025-07-28T00:00:00"/>
        <d v="2025-02-15T00:00:00"/>
        <d v="2025-04-06T00:00:00"/>
        <d v="2025-08-21T00:00:00"/>
        <d v="2025-03-25T00:00:00"/>
        <d v="2025-04-09T00:00:00"/>
        <d v="2025-02-01T00:00:00"/>
        <d v="2025-10-08T00:00:00"/>
        <d v="2025-04-16T00:00:00"/>
        <d v="2025-04-22T00:00:00"/>
        <d v="2025-07-13T00:00:00"/>
        <d v="2025-04-25T00:00:00"/>
        <d v="2025-04-28T00:00:00"/>
        <d v="2025-11-03T00:00:00"/>
        <d v="2025-01-29T00:00:00"/>
        <d v="2025-03-31T00:00:00"/>
        <d v="2025-06-20T00:00:00"/>
        <d v="2025-12-27T00:00:00"/>
        <d v="2025-11-29T00:00:00"/>
        <d v="2025-03-16T00:00:00"/>
        <d v="2025-09-09T00:00:00"/>
        <d v="2025-03-18T00:00:00"/>
        <d v="2025-02-08T00:00:00"/>
        <d v="2025-12-31T00:00:00"/>
        <d v="2025-12-13T00:00:00"/>
        <d v="2025-12-05T00:00:00"/>
        <d v="2025-06-16T00:00:00"/>
        <d v="2025-05-05T00:00:00"/>
        <d v="2025-05-09T00:00:00"/>
        <d v="2025-01-04T00:00:00"/>
        <d v="2025-08-05T00:00:00"/>
        <d v="2025-12-21T00:00:00"/>
        <d v="2025-08-20T00:00:00"/>
        <d v="2025-08-07T00:00:00"/>
        <d v="2025-04-20T00:00:00"/>
        <d v="2025-10-28T00:00:00"/>
        <d v="2025-09-07T00:00:00"/>
        <d v="2025-12-01T00:00:00"/>
        <d v="2025-10-17T00:00:00"/>
        <d v="2025-08-14T00:00:00"/>
        <d v="2025-06-28T00:00:00"/>
        <d v="2025-11-20T00:00:00"/>
        <d v="2025-02-18T00:00:00"/>
        <d v="2025-01-01T00:00:00"/>
        <d v="2025-12-18T00:00:00"/>
        <d v="2025-11-04T00:00:00"/>
        <d v="2025-11-01T00:00:00"/>
        <d v="2025-12-16T00:00:00"/>
        <d v="2025-01-31T00:00:00"/>
        <d v="2025-10-02T00:00:00"/>
        <d v="2025-08-11T00:00:00"/>
        <d v="2025-05-18T00:00:00"/>
        <d v="2025-03-27T00:00:00"/>
        <d v="2025-05-06T00:00:00"/>
        <d v="2025-12-02T00:00:00"/>
        <d v="2025-07-10T00:00:00"/>
        <d v="2025-06-09T00:00:00"/>
        <d v="2025-11-15T00:00:00"/>
        <d v="2025-06-07T00:00:00"/>
        <d v="2025-05-14T00:00:00"/>
        <d v="2025-04-14T00:00:00"/>
        <d v="2025-07-02T00:00:00"/>
        <d v="2025-10-09T00:00:00"/>
        <d v="2025-11-27T00:00:00"/>
        <d v="2025-09-13T00:00:00"/>
        <d v="2025-01-16T00:00:00"/>
        <d v="2025-04-23T00:00:00"/>
        <d v="2025-06-15T00:00:00"/>
        <d v="2025-06-12T00:00:00"/>
        <d v="2025-11-07T00:00:00"/>
        <d v="2025-09-01T00:00:00"/>
        <d v="2025-09-22T00:00:00"/>
        <d v="2025-08-17T00:00:00"/>
        <d v="2025-09-20T00:00:00"/>
        <d v="2025-01-19T00:00:00"/>
        <d v="2025-10-27T00:00:00"/>
        <d v="2025-09-14T00:00:00"/>
        <d v="2025-07-16T00:00:00"/>
        <d v="2025-01-03T00:00:00"/>
        <d v="2025-07-26T00:00:00"/>
        <d v="2025-05-19T00:00:00"/>
        <d v="2025-01-21T00:00:00"/>
        <d v="2025-01-05T00:00:00"/>
        <d v="2025-12-20T00:00:00"/>
        <d v="2025-06-10T00:00:00"/>
        <d v="2025-08-29T00:00:00"/>
        <d v="2025-01-26T00:00:00"/>
        <d v="2025-07-31T00:00:00"/>
        <d v="2025-09-18T00:00:00"/>
        <d v="2025-05-29T00:00:00"/>
        <d v="2025-12-12T00:00:00"/>
        <d v="2025-10-01T00:00:00"/>
        <d v="2025-11-28T00:00:00"/>
        <d v="2025-10-18T00:00:00"/>
        <d v="2025-07-27T00:00:00"/>
        <d v="2025-07-07T00:00:00"/>
        <d v="2025-09-15T00:00:00"/>
        <d v="2025-03-02T00:00:00"/>
        <d v="2025-10-30T00:00:00"/>
        <n v="45710" u="1"/>
        <n v="45966" u="1"/>
        <n v="46015" u="1"/>
        <n v="45707" u="1"/>
        <n v="45940" u="1"/>
        <n v="45709" u="1"/>
        <n v="45794" u="1"/>
        <n v="45985" u="1"/>
        <n v="45691" u="1"/>
        <n v="45784" u="1"/>
        <n v="45910" u="1"/>
        <n v="45963" u="1"/>
        <n v="45738" u="1"/>
        <n v="45908" u="1"/>
        <n v="45701" u="1"/>
        <n v="45793" u="1"/>
        <n v="45849" u="1"/>
        <n v="45941" u="1"/>
        <n v="45694" u="1"/>
        <n v="45953" u="1"/>
        <n v="45839" u="1"/>
        <n v="45713" u="1"/>
        <n v="45894" u="1"/>
        <n v="45705" u="1"/>
        <n v="45742" u="1"/>
        <n v="45942" u="1"/>
        <n v="45935" u="1"/>
        <n v="45699" u="1"/>
        <n v="46000" u="1"/>
        <n v="45695" u="1"/>
        <n v="45693" u="1"/>
        <n v="45928" u="1"/>
        <n v="45737" u="1"/>
        <n v="45740" u="1"/>
        <n v="45937" u="1"/>
        <n v="45841" u="1"/>
        <n v="45748" u="1"/>
        <n v="46017" u="1"/>
        <n v="45774" u="1"/>
        <n v="45986" u="1"/>
        <n v="45677" u="1"/>
        <n v="45755" u="1"/>
        <n v="45827" u="1"/>
        <n v="45809" u="1"/>
        <n v="45812" u="1"/>
        <n v="45884" u="1"/>
        <n v="46002" u="1"/>
        <n v="46010" u="1"/>
        <n v="45785" u="1"/>
        <n v="45916" u="1"/>
        <n v="45924" u="1"/>
        <n v="45821" u="1"/>
        <n v="45690" u="1"/>
        <n v="45857" u="1"/>
        <n v="45933" u="1"/>
        <n v="45830" u="1"/>
        <n v="45946" u="1"/>
        <n v="45852" u="1"/>
        <n v="45896" u="1"/>
        <n v="45671" u="1"/>
        <n v="45979" u="1"/>
        <n v="45877" u="1"/>
        <n v="45879" u="1"/>
        <n v="45905" u="1"/>
        <n v="45895" u="1"/>
        <n v="45929" u="1"/>
        <n v="45719" u="1"/>
        <n v="45799" u="1"/>
        <n v="45665" u="1"/>
        <n v="45984" u="1"/>
        <n v="45752" u="1"/>
        <n v="45871" u="1"/>
        <n v="45975" u="1"/>
        <n v="45776" u="1"/>
        <n v="45936" u="1"/>
        <n v="45949" u="1"/>
        <n v="45934" u="1"/>
        <n v="45867" u="1"/>
        <n v="45863" u="1"/>
        <n v="45921" u="1"/>
        <n v="45978" u="1"/>
        <n v="45720" u="1"/>
        <n v="45716" u="1"/>
        <n v="45899" u="1"/>
        <n v="45870" u="1"/>
        <n v="45780" u="1"/>
        <n v="45855" u="1"/>
        <n v="45831" u="1"/>
        <n v="45974" u="1"/>
        <n v="45698" u="1"/>
        <n v="45788" u="1"/>
        <n v="45834" u="1"/>
        <n v="45712" u="1"/>
        <n v="45798" u="1"/>
        <n v="45844" u="1"/>
        <n v="45983" u="1"/>
        <n v="46014" u="1"/>
        <n v="45801" u="1"/>
        <n v="45846" u="1"/>
        <n v="45997" u="1"/>
        <n v="45764" u="1"/>
        <n v="45724" u="1"/>
        <n v="45959" u="1"/>
        <n v="45995" u="1"/>
        <n v="45900" u="1"/>
        <n v="45805" u="1"/>
        <n v="45837" u="1"/>
        <n v="46013" u="1"/>
        <n v="45731" u="1"/>
        <n v="45850" u="1"/>
        <n v="45875" u="1"/>
        <n v="45714" u="1"/>
        <n v="45878" u="1"/>
        <n v="45679" u="1"/>
        <n v="46021" u="1"/>
        <n v="45893" u="1"/>
        <n v="45926" u="1"/>
        <n v="45982" u="1"/>
        <n v="45759" u="1"/>
        <n v="45987" u="1"/>
        <n v="45813" u="1"/>
        <n v="45687" u="1"/>
        <n v="45991" u="1"/>
        <n v="45802" u="1"/>
        <n v="45943" u="1"/>
        <n v="45730" u="1"/>
        <n v="45816" u="1"/>
        <n v="45750" u="1"/>
        <n v="45803" u="1"/>
        <n v="46005" u="1"/>
        <n v="45967" u="1"/>
        <n v="45721" u="1"/>
        <n v="45771" u="1"/>
        <n v="45778" u="1"/>
        <n v="45829" u="1"/>
        <n v="45887" u="1"/>
        <n v="45969" u="1"/>
        <n v="45872" u="1"/>
        <n v="45952" u="1"/>
        <n v="45856" u="1"/>
        <n v="46008" u="1"/>
        <n v="45680" u="1"/>
        <n v="45787" u="1"/>
        <n v="45881" u="1"/>
        <n v="45822" u="1"/>
        <n v="45885" u="1"/>
        <n v="45692" u="1"/>
        <n v="45888" u="1"/>
        <n v="45861" u="1"/>
        <n v="45945" u="1"/>
        <n v="45760" u="1"/>
        <n v="45999" u="1"/>
        <n v="45758" u="1"/>
        <n v="45736" u="1"/>
        <n v="45862" u="1"/>
        <n v="45825" u="1"/>
        <n v="45912" u="1"/>
        <n v="45682" u="1"/>
        <n v="45726" u="1"/>
        <n v="45977" u="1"/>
        <n v="45891" u="1"/>
        <n v="45811" u="1"/>
        <n v="45956" u="1"/>
        <n v="45971" u="1"/>
        <n v="45927" u="1"/>
        <n v="46006" u="1"/>
        <n v="45951" u="1"/>
        <n v="45797" u="1"/>
        <n v="45684" u="1"/>
        <n v="45866" u="1"/>
        <n v="45703" u="1"/>
        <n v="45753" u="1"/>
        <n v="45890" u="1"/>
        <n v="45741" u="1"/>
        <n v="45756" u="1"/>
        <n v="45689" u="1"/>
        <n v="45938" u="1"/>
        <n v="45763" u="1"/>
        <n v="45769" u="1"/>
        <n v="45851" u="1"/>
        <n v="45772" u="1"/>
        <n v="45775" u="1"/>
        <n v="45964" u="1"/>
        <n v="45686" u="1"/>
        <n v="45747" u="1"/>
        <n v="45828" u="1"/>
        <n v="46018" u="1"/>
        <n v="45990" u="1"/>
        <n v="45732" u="1"/>
        <n v="45909" u="1"/>
        <n v="45734" u="1"/>
        <n v="45696" u="1"/>
        <n v="46022" u="1"/>
        <n v="46004" u="1"/>
        <n v="45996" u="1"/>
        <n v="45824" u="1"/>
        <n v="45782" u="1"/>
        <n v="45786" u="1"/>
        <n v="45661" u="1"/>
        <n v="45874" u="1"/>
        <n v="46012" u="1"/>
        <n v="45889" u="1"/>
        <n v="45876" u="1"/>
        <n v="45767" u="1"/>
        <n v="45958" u="1"/>
        <n v="45907" u="1"/>
        <n v="45992" u="1"/>
        <n v="45947" u="1"/>
        <n v="45883" u="1"/>
        <n v="45836" u="1"/>
        <n v="45981" u="1"/>
        <n v="45706" u="1"/>
        <n v="45658" u="1"/>
        <n v="46009" u="1"/>
        <n v="45965" u="1"/>
        <n v="45962" u="1"/>
        <n v="46007" u="1"/>
        <n v="45688" u="1"/>
        <n v="45932" u="1"/>
        <n v="45880" u="1"/>
        <n v="45795" u="1"/>
        <n v="45743" u="1"/>
        <n v="45783" u="1"/>
        <n v="45993" u="1"/>
        <n v="45848" u="1"/>
        <n v="45817" u="1"/>
        <n v="45976" u="1"/>
        <n v="45815" u="1"/>
        <n v="45791" u="1"/>
        <n v="45761" u="1"/>
        <n v="45840" u="1"/>
        <n v="45939" u="1"/>
        <n v="45988" u="1"/>
        <n v="45913" u="1"/>
        <n v="45673" u="1"/>
        <n v="45770" u="1"/>
        <n v="45823" u="1"/>
        <n v="45820" u="1"/>
        <n v="45968" u="1"/>
        <n v="45901" u="1"/>
        <n v="45922" u="1"/>
        <n v="45886" u="1"/>
        <n v="45920" u="1"/>
        <n v="45676" u="1"/>
        <n v="45957" u="1"/>
        <n v="45914" u="1"/>
        <n v="45854" u="1"/>
        <n v="45660" u="1"/>
        <n v="45864" u="1"/>
        <n v="45796" u="1"/>
        <n v="45678" u="1"/>
        <n v="45662" u="1"/>
        <n v="46011" u="1"/>
        <n v="45818" u="1"/>
        <n v="45898" u="1"/>
        <n v="45683" u="1"/>
        <n v="45869" u="1"/>
        <n v="45918" u="1"/>
        <n v="45806" u="1"/>
        <n v="46003" u="1"/>
        <n v="45931" u="1"/>
        <n v="45989" u="1"/>
        <n v="45948" u="1"/>
        <n v="45865" u="1"/>
        <n v="45845" u="1"/>
        <n v="45915" u="1"/>
        <n v="45718" u="1"/>
        <n v="45960" u="1"/>
      </sharedItems>
    </cacheField>
    <cacheField name="Month" numFmtId="14">
      <sharedItems count="12">
        <s v="February"/>
        <s v="November"/>
        <s v="December"/>
        <s v="October"/>
        <s v="May"/>
        <s v="September"/>
        <s v="March"/>
        <s v="July"/>
        <s v="August"/>
        <s v="April"/>
        <s v="January"/>
        <s v="June"/>
      </sharedItems>
    </cacheField>
    <cacheField name="Customer_ID" numFmtId="164">
      <sharedItems/>
    </cacheField>
    <cacheField name="Region" numFmtId="164">
      <sharedItems count="5">
        <s v="KwaZulu-Natal"/>
        <s v="Gauteng"/>
        <s v="Limpopo"/>
        <s v="Western Cape"/>
        <s v="Eastern Cape"/>
      </sharedItems>
    </cacheField>
    <cacheField name="City" numFmtId="164">
      <sharedItems/>
    </cacheField>
    <cacheField name="Sales_Channel" numFmtId="164">
      <sharedItems/>
    </cacheField>
    <cacheField name="Category" numFmtId="164">
      <sharedItems count="13">
        <s v="Skincare"/>
        <s v="Haircare"/>
        <s v="Makeup"/>
        <s v="Accessories"/>
        <s v="Fragrance"/>
        <s v="Formula1" f="1"/>
        <s v="Formula2" f="1"/>
        <s v="Formula3" f="1"/>
        <s v="Formula4" f="1"/>
        <s v="Formula5" f="1"/>
        <s v="Formula6" f="1"/>
        <s v="Formula7" f="1"/>
        <s v="Formula8" f="1"/>
      </sharedItems>
    </cacheField>
    <cacheField name="Product" numFmtId="164">
      <sharedItems count="37">
        <s v="Face Wash"/>
        <s v="Edge Control"/>
        <s v="Conditioner"/>
        <s v="Glycolic Toner"/>
        <s v="Lip Gloss"/>
        <s v="Sunglasses"/>
        <s v="Moisturizer"/>
        <s v="Perfume"/>
        <s v="Jewellery Set"/>
        <s v="Sunscreen"/>
        <s v="Body Mist"/>
        <s v="Handbag"/>
        <s v="Blush"/>
        <s v="Hair Mask"/>
        <s v="Body Lotion"/>
        <s v="Mascara"/>
        <s v="Shampoo"/>
        <s v="Hair Clips"/>
        <s v="Foundation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</sharedItems>
    </cacheField>
    <cacheField name="Quantity" numFmtId="165">
      <sharedItems containsSemiMixedTypes="0" containsString="0" containsNumber="1" containsInteger="1" minValue="1" maxValue="6"/>
    </cacheField>
    <cacheField name="Unit_Price_ZAR" numFmtId="164">
      <sharedItems containsSemiMixedTypes="0" containsString="0" containsNumber="1" minValue="49.99" maxValue="399.99"/>
    </cacheField>
    <cacheField name="Discount" numFmtId="166">
      <sharedItems containsSemiMixedTypes="0" containsString="0" containsNumber="1" minValue="0" maxValue="0.15"/>
    </cacheField>
    <cacheField name="Payment_Method" numFmtId="164">
      <sharedItems/>
    </cacheField>
    <cacheField name="Gross_Sales_ZAR" numFmtId="164">
      <sharedItems containsSemiMixedTypes="0" containsString="0" containsNumber="1" minValue="49.99" maxValue="2399.94"/>
    </cacheField>
    <cacheField name="Discount_Amount_ZAR" numFmtId="164">
      <sharedItems containsSemiMixedTypes="0" containsString="0" containsNumber="1" minValue="0" maxValue="359.99"/>
    </cacheField>
    <cacheField name="Net_Sales_ZAR" numFmtId="164">
      <sharedItems containsSemiMixedTypes="0" containsString="0" containsNumber="1" minValue="42.49" maxValue="2399.94"/>
    </cacheField>
  </cacheFields>
  <calculatedItems count="26">
    <calculatedItem>
      <pivotArea cacheIndex="1" outline="0" fieldPosition="0">
        <references count="1">
          <reference field="7" count="1">
            <x v="5"/>
          </reference>
        </references>
      </pivotArea>
    </calculatedItem>
    <calculatedItem>
      <pivotArea cacheIndex="1" outline="0" fieldPosition="0">
        <references count="1">
          <reference field="7" count="1">
            <x v="6"/>
          </reference>
        </references>
      </pivotArea>
    </calculatedItem>
    <calculatedItem>
      <pivotArea cacheIndex="1" outline="0" fieldPosition="0">
        <references count="1">
          <reference field="7" count="1">
            <x v="7"/>
          </reference>
        </references>
      </pivotArea>
    </calculatedItem>
    <calculatedItem>
      <pivotArea cacheIndex="1" outline="0" fieldPosition="0">
        <references count="1">
          <reference field="7" count="1">
            <x v="8"/>
          </reference>
        </references>
      </pivotArea>
    </calculatedItem>
    <calculatedItem>
      <pivotArea cacheIndex="1" outline="0" fieldPosition="0">
        <references count="1">
          <reference field="7" count="1">
            <x v="9"/>
          </reference>
        </references>
      </pivotArea>
    </calculatedItem>
    <calculatedItem>
      <pivotArea cacheIndex="1" outline="0" fieldPosition="0">
        <references count="1">
          <reference field="7" count="1">
            <x v="10"/>
          </reference>
        </references>
      </pivotArea>
    </calculatedItem>
    <calculatedItem>
      <pivotArea cacheIndex="1" outline="0" fieldPosition="0">
        <references count="1">
          <reference field="7" count="1">
            <x v="11"/>
          </reference>
        </references>
      </pivotArea>
    </calculatedItem>
    <calculatedItem>
      <pivotArea cacheIndex="1" outline="0" fieldPosition="0">
        <references count="1">
          <reference field="7" count="1">
            <x v="12"/>
          </reference>
        </references>
      </pivotArea>
    </calculatedItem>
    <calculatedItem>
      <pivotArea cacheIndex="1" outline="0" fieldPosition="0">
        <references count="1">
          <reference field="8" count="1">
            <x v="19"/>
          </reference>
        </references>
      </pivotArea>
    </calculatedItem>
    <calculatedItem>
      <pivotArea cacheIndex="1" outline="0" fieldPosition="0">
        <references count="1">
          <reference field="8" count="1">
            <x v="20"/>
          </reference>
        </references>
      </pivotArea>
    </calculatedItem>
    <calculatedItem>
      <pivotArea cacheIndex="1" outline="0" fieldPosition="0">
        <references count="1">
          <reference field="8" count="1">
            <x v="21"/>
          </reference>
        </references>
      </pivotArea>
    </calculatedItem>
    <calculatedItem>
      <pivotArea cacheIndex="1" outline="0" fieldPosition="0">
        <references count="1">
          <reference field="8" count="1">
            <x v="22"/>
          </reference>
        </references>
      </pivotArea>
    </calculatedItem>
    <calculatedItem>
      <pivotArea cacheIndex="1" outline="0" fieldPosition="0">
        <references count="1">
          <reference field="8" count="1">
            <x v="23"/>
          </reference>
        </references>
      </pivotArea>
    </calculatedItem>
    <calculatedItem>
      <pivotArea cacheIndex="1" outline="0" fieldPosition="0">
        <references count="1">
          <reference field="8" count="1">
            <x v="24"/>
          </reference>
        </references>
      </pivotArea>
    </calculatedItem>
    <calculatedItem>
      <pivotArea cacheIndex="1" outline="0" fieldPosition="0">
        <references count="1">
          <reference field="8" count="1">
            <x v="25"/>
          </reference>
        </references>
      </pivotArea>
    </calculatedItem>
    <calculatedItem>
      <pivotArea cacheIndex="1" outline="0" fieldPosition="0">
        <references count="1">
          <reference field="8" count="1">
            <x v="26"/>
          </reference>
        </references>
      </pivotArea>
    </calculatedItem>
    <calculatedItem>
      <pivotArea cacheIndex="1" outline="0" fieldPosition="0">
        <references count="1">
          <reference field="8" count="1">
            <x v="27"/>
          </reference>
        </references>
      </pivotArea>
    </calculatedItem>
    <calculatedItem>
      <pivotArea cacheIndex="1" outline="0" fieldPosition="0">
        <references count="1">
          <reference field="8" count="1">
            <x v="28"/>
          </reference>
        </references>
      </pivotArea>
    </calculatedItem>
    <calculatedItem>
      <pivotArea cacheIndex="1" outline="0" fieldPosition="0">
        <references count="1">
          <reference field="8" count="1">
            <x v="29"/>
          </reference>
        </references>
      </pivotArea>
    </calculatedItem>
    <calculatedItem>
      <pivotArea cacheIndex="1" outline="0" fieldPosition="0">
        <references count="1">
          <reference field="8" count="1">
            <x v="30"/>
          </reference>
        </references>
      </pivotArea>
    </calculatedItem>
    <calculatedItem>
      <pivotArea cacheIndex="1" outline="0" fieldPosition="0">
        <references count="1">
          <reference field="8" count="1">
            <x v="31"/>
          </reference>
        </references>
      </pivotArea>
    </calculatedItem>
    <calculatedItem>
      <pivotArea cacheIndex="1" outline="0" fieldPosition="0">
        <references count="1">
          <reference field="8" count="1">
            <x v="32"/>
          </reference>
        </references>
      </pivotArea>
    </calculatedItem>
    <calculatedItem>
      <pivotArea cacheIndex="1" outline="0" fieldPosition="0">
        <references count="1">
          <reference field="8" count="1">
            <x v="33"/>
          </reference>
        </references>
      </pivotArea>
    </calculatedItem>
    <calculatedItem>
      <pivotArea cacheIndex="1" outline="0" fieldPosition="0">
        <references count="1">
          <reference field="8" count="1">
            <x v="34"/>
          </reference>
        </references>
      </pivotArea>
    </calculatedItem>
    <calculatedItem>
      <pivotArea cacheIndex="1" outline="0" fieldPosition="0">
        <references count="1">
          <reference field="8" count="1">
            <x v="35"/>
          </reference>
        </references>
      </pivotArea>
    </calculatedItem>
    <calculatedItem>
      <pivotArea cacheIndex="1" outline="0" fieldPosition="0">
        <references count="1">
          <reference field="8" count="1">
            <x v="3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01"/>
    <x v="0"/>
    <x v="0"/>
    <s v="CUST0174"/>
    <x v="0"/>
    <s v="Durban"/>
    <s v="In-store"/>
    <x v="0"/>
    <x v="0"/>
    <n v="2"/>
    <n v="89.99"/>
    <n v="0"/>
    <s v="Mobile Payment"/>
    <n v="179.98"/>
    <n v="0"/>
    <n v="179.98"/>
  </r>
  <r>
    <s v="ORD00002"/>
    <x v="1"/>
    <x v="1"/>
    <s v="CUST0007"/>
    <x v="1"/>
    <s v="Johannesburg"/>
    <s v="In-store"/>
    <x v="0"/>
    <x v="0"/>
    <n v="2"/>
    <n v="89.99"/>
    <n v="0.1"/>
    <s v="Mobile Payment"/>
    <n v="179.98"/>
    <n v="18"/>
    <n v="161.97999999999999"/>
  </r>
  <r>
    <s v="ORD00003"/>
    <x v="2"/>
    <x v="2"/>
    <s v="CUST0109"/>
    <x v="2"/>
    <s v="Tzaneen"/>
    <s v="Online"/>
    <x v="1"/>
    <x v="1"/>
    <n v="1"/>
    <n v="79.989999999999995"/>
    <n v="0"/>
    <s v="EFT"/>
    <n v="79.989999999999995"/>
    <n v="0"/>
    <n v="79.989999999999995"/>
  </r>
  <r>
    <s v="ORD00004"/>
    <x v="3"/>
    <x v="0"/>
    <s v="CUST0092"/>
    <x v="0"/>
    <s v="Durban"/>
    <s v="Online"/>
    <x v="1"/>
    <x v="2"/>
    <n v="1"/>
    <n v="104.99"/>
    <n v="0.05"/>
    <s v="EFT"/>
    <n v="104.99"/>
    <n v="5.25"/>
    <n v="99.74"/>
  </r>
  <r>
    <s v="ORD00005"/>
    <x v="4"/>
    <x v="3"/>
    <s v="CUST0076"/>
    <x v="2"/>
    <s v="Polokwane"/>
    <s v="Online"/>
    <x v="0"/>
    <x v="3"/>
    <n v="4"/>
    <n v="119.99"/>
    <n v="0"/>
    <s v="Cash"/>
    <n v="479.96"/>
    <n v="0"/>
    <n v="479.96"/>
  </r>
  <r>
    <s v="ORD00006"/>
    <x v="5"/>
    <x v="0"/>
    <s v="CUST0098"/>
    <x v="3"/>
    <s v="Stellenbosch"/>
    <s v="Online"/>
    <x v="0"/>
    <x v="0"/>
    <n v="1"/>
    <n v="89.99"/>
    <n v="0"/>
    <s v="Mobile Payment"/>
    <n v="89.99"/>
    <n v="0"/>
    <n v="89.99"/>
  </r>
  <r>
    <s v="ORD00007"/>
    <x v="6"/>
    <x v="4"/>
    <s v="CUST0180"/>
    <x v="0"/>
    <s v="Pietermaritzburg"/>
    <s v="In-store"/>
    <x v="2"/>
    <x v="4"/>
    <n v="2"/>
    <n v="89.99"/>
    <n v="0.15"/>
    <s v="Cash"/>
    <n v="179.98"/>
    <n v="27"/>
    <n v="152.97999999999999"/>
  </r>
  <r>
    <s v="ORD00008"/>
    <x v="7"/>
    <x v="1"/>
    <s v="CUST0177"/>
    <x v="3"/>
    <s v="Stellenbosch"/>
    <s v="In-store"/>
    <x v="3"/>
    <x v="5"/>
    <n v="4"/>
    <n v="199.99"/>
    <n v="0"/>
    <s v="EFT"/>
    <n v="799.96"/>
    <n v="0"/>
    <n v="799.96"/>
  </r>
  <r>
    <s v="ORD00009"/>
    <x v="8"/>
    <x v="0"/>
    <s v="CUST0055"/>
    <x v="1"/>
    <s v="Pretoria"/>
    <s v="Online"/>
    <x v="0"/>
    <x v="6"/>
    <n v="4"/>
    <n v="129.99"/>
    <n v="0"/>
    <s v="Cash"/>
    <n v="519.96"/>
    <n v="0"/>
    <n v="519.96"/>
  </r>
  <r>
    <s v="ORD00010"/>
    <x v="9"/>
    <x v="4"/>
    <s v="CUST0191"/>
    <x v="4"/>
    <s v="Gqeberha"/>
    <s v="Online"/>
    <x v="4"/>
    <x v="7"/>
    <n v="3"/>
    <n v="299.99"/>
    <n v="0"/>
    <s v="Mobile Payment"/>
    <n v="899.97"/>
    <n v="0"/>
    <n v="899.97"/>
  </r>
  <r>
    <s v="ORD00011"/>
    <x v="10"/>
    <x v="5"/>
    <s v="CUST0024"/>
    <x v="0"/>
    <s v="Durban"/>
    <s v="In-store"/>
    <x v="3"/>
    <x v="8"/>
    <n v="2"/>
    <n v="249.99"/>
    <n v="0.1"/>
    <s v="Card"/>
    <n v="499.98"/>
    <n v="50"/>
    <n v="449.98"/>
  </r>
  <r>
    <s v="ORD00012"/>
    <x v="11"/>
    <x v="1"/>
    <s v="CUST0120"/>
    <x v="4"/>
    <s v="Gqeberha"/>
    <s v="Online"/>
    <x v="1"/>
    <x v="2"/>
    <n v="4"/>
    <n v="104.99"/>
    <n v="0.05"/>
    <s v="Card"/>
    <n v="419.96"/>
    <n v="21"/>
    <n v="398.96"/>
  </r>
  <r>
    <s v="ORD00013"/>
    <x v="12"/>
    <x v="6"/>
    <s v="CUST0117"/>
    <x v="0"/>
    <s v="Durban"/>
    <s v="In-store"/>
    <x v="0"/>
    <x v="9"/>
    <n v="3"/>
    <n v="149.99"/>
    <n v="0.05"/>
    <s v="EFT"/>
    <n v="449.97"/>
    <n v="22.5"/>
    <n v="427.47"/>
  </r>
  <r>
    <s v="ORD00014"/>
    <x v="7"/>
    <x v="1"/>
    <s v="CUST0130"/>
    <x v="2"/>
    <s v="Polokwane"/>
    <s v="In-store"/>
    <x v="3"/>
    <x v="5"/>
    <n v="6"/>
    <n v="199.99"/>
    <n v="0"/>
    <s v="Cash"/>
    <n v="1199.94"/>
    <n v="0"/>
    <n v="1199.94"/>
  </r>
  <r>
    <s v="ORD00015"/>
    <x v="13"/>
    <x v="5"/>
    <s v="CUST0005"/>
    <x v="2"/>
    <s v="Polokwane"/>
    <s v="In-store"/>
    <x v="2"/>
    <x v="4"/>
    <n v="5"/>
    <n v="89.99"/>
    <n v="0"/>
    <s v="EFT"/>
    <n v="449.95"/>
    <n v="0"/>
    <n v="449.95"/>
  </r>
  <r>
    <s v="ORD00016"/>
    <x v="14"/>
    <x v="0"/>
    <s v="CUST0188"/>
    <x v="1"/>
    <s v="Johannesburg"/>
    <s v="Online"/>
    <x v="2"/>
    <x v="4"/>
    <n v="5"/>
    <n v="89.99"/>
    <n v="0"/>
    <s v="Card"/>
    <n v="449.95"/>
    <n v="0"/>
    <n v="449.95"/>
  </r>
  <r>
    <s v="ORD00017"/>
    <x v="15"/>
    <x v="4"/>
    <s v="CUST0136"/>
    <x v="3"/>
    <s v="Stellenbosch"/>
    <s v="Online"/>
    <x v="3"/>
    <x v="5"/>
    <n v="5"/>
    <n v="199.99"/>
    <n v="0"/>
    <s v="Cash"/>
    <n v="999.95"/>
    <n v="0"/>
    <n v="999.95"/>
  </r>
  <r>
    <s v="ORD00018"/>
    <x v="16"/>
    <x v="7"/>
    <s v="CUST0113"/>
    <x v="0"/>
    <s v="Pietermaritzburg"/>
    <s v="Online"/>
    <x v="3"/>
    <x v="5"/>
    <n v="6"/>
    <n v="199.99"/>
    <n v="0.15"/>
    <s v="Card"/>
    <n v="1199.94"/>
    <n v="179.99"/>
    <n v="1019.95"/>
  </r>
  <r>
    <s v="ORD00019"/>
    <x v="17"/>
    <x v="3"/>
    <s v="CUST0059"/>
    <x v="1"/>
    <s v="Pretoria"/>
    <s v="In-store"/>
    <x v="1"/>
    <x v="2"/>
    <n v="1"/>
    <n v="104.99"/>
    <n v="0.1"/>
    <s v="Card"/>
    <n v="104.99"/>
    <n v="10.5"/>
    <n v="94.49"/>
  </r>
  <r>
    <s v="ORD00020"/>
    <x v="18"/>
    <x v="0"/>
    <s v="CUST0132"/>
    <x v="3"/>
    <s v="Cape Town"/>
    <s v="In-store"/>
    <x v="0"/>
    <x v="0"/>
    <n v="1"/>
    <n v="89.99"/>
    <n v="0"/>
    <s v="EFT"/>
    <n v="89.99"/>
    <n v="0"/>
    <n v="89.99"/>
  </r>
  <r>
    <s v="ORD00021"/>
    <x v="19"/>
    <x v="3"/>
    <s v="CUST0122"/>
    <x v="2"/>
    <s v="Polokwane"/>
    <s v="In-store"/>
    <x v="4"/>
    <x v="10"/>
    <n v="6"/>
    <n v="129.99"/>
    <n v="0.1"/>
    <s v="Mobile Payment"/>
    <n v="779.94"/>
    <n v="77.989999999999995"/>
    <n v="701.95"/>
  </r>
  <r>
    <s v="ORD00022"/>
    <x v="20"/>
    <x v="7"/>
    <s v="CUST0109"/>
    <x v="1"/>
    <s v="Johannesburg"/>
    <s v="Online"/>
    <x v="4"/>
    <x v="10"/>
    <n v="6"/>
    <n v="129.99"/>
    <n v="0.05"/>
    <s v="Mobile Payment"/>
    <n v="779.94"/>
    <n v="39"/>
    <n v="740.94"/>
  </r>
  <r>
    <s v="ORD00023"/>
    <x v="21"/>
    <x v="0"/>
    <s v="CUST0064"/>
    <x v="1"/>
    <s v="Pretoria"/>
    <s v="In-store"/>
    <x v="0"/>
    <x v="0"/>
    <n v="6"/>
    <n v="89.99"/>
    <n v="0"/>
    <s v="Cash"/>
    <n v="539.94000000000005"/>
    <n v="0"/>
    <n v="539.94000000000005"/>
  </r>
  <r>
    <s v="ORD00024"/>
    <x v="22"/>
    <x v="8"/>
    <s v="CUST0064"/>
    <x v="3"/>
    <s v="Stellenbosch"/>
    <s v="In-store"/>
    <x v="3"/>
    <x v="8"/>
    <n v="2"/>
    <n v="249.99"/>
    <n v="0"/>
    <s v="Mobile Payment"/>
    <n v="499.98"/>
    <n v="0"/>
    <n v="499.98"/>
  </r>
  <r>
    <s v="ORD00025"/>
    <x v="23"/>
    <x v="0"/>
    <s v="CUST0238"/>
    <x v="1"/>
    <s v="Soweto"/>
    <s v="In-store"/>
    <x v="3"/>
    <x v="11"/>
    <n v="5"/>
    <n v="399.99"/>
    <n v="0"/>
    <s v="Cash"/>
    <n v="1999.95"/>
    <n v="0"/>
    <n v="1999.95"/>
  </r>
  <r>
    <s v="ORD00026"/>
    <x v="24"/>
    <x v="6"/>
    <s v="CUST0098"/>
    <x v="4"/>
    <s v="Gqeberha"/>
    <s v="In-store"/>
    <x v="4"/>
    <x v="7"/>
    <n v="4"/>
    <n v="299.99"/>
    <n v="0"/>
    <s v="Mobile Payment"/>
    <n v="1199.96"/>
    <n v="0"/>
    <n v="1199.96"/>
  </r>
  <r>
    <s v="ORD00027"/>
    <x v="25"/>
    <x v="3"/>
    <s v="CUST0170"/>
    <x v="0"/>
    <s v="Pietermaritzburg"/>
    <s v="Online"/>
    <x v="2"/>
    <x v="12"/>
    <n v="6"/>
    <n v="109.99"/>
    <n v="0.15"/>
    <s v="Cash"/>
    <n v="659.94"/>
    <n v="98.99"/>
    <n v="560.95000000000005"/>
  </r>
  <r>
    <s v="ORD00028"/>
    <x v="26"/>
    <x v="3"/>
    <s v="CUST0016"/>
    <x v="3"/>
    <s v="Cape Town"/>
    <s v="Online"/>
    <x v="1"/>
    <x v="13"/>
    <n v="5"/>
    <n v="139.99"/>
    <n v="0.15"/>
    <s v="Card"/>
    <n v="699.95"/>
    <n v="104.99"/>
    <n v="594.96"/>
  </r>
  <r>
    <s v="ORD00029"/>
    <x v="27"/>
    <x v="0"/>
    <s v="CUST0218"/>
    <x v="2"/>
    <s v="Polokwane"/>
    <s v="In-store"/>
    <x v="0"/>
    <x v="3"/>
    <n v="1"/>
    <n v="119.99"/>
    <n v="0.1"/>
    <s v="Card"/>
    <n v="119.99"/>
    <n v="12"/>
    <n v="107.99"/>
  </r>
  <r>
    <s v="ORD00030"/>
    <x v="9"/>
    <x v="4"/>
    <s v="CUST0149"/>
    <x v="3"/>
    <s v="Stellenbosch"/>
    <s v="In-store"/>
    <x v="3"/>
    <x v="11"/>
    <n v="1"/>
    <n v="399.99"/>
    <n v="0.1"/>
    <s v="Card"/>
    <n v="399.99"/>
    <n v="40"/>
    <n v="359.99"/>
  </r>
  <r>
    <s v="ORD00031"/>
    <x v="28"/>
    <x v="2"/>
    <s v="CUST0184"/>
    <x v="2"/>
    <s v="Tzaneen"/>
    <s v="Online"/>
    <x v="4"/>
    <x v="14"/>
    <n v="3"/>
    <n v="99.99"/>
    <n v="0"/>
    <s v="Cash"/>
    <n v="299.97000000000003"/>
    <n v="0"/>
    <n v="299.97000000000003"/>
  </r>
  <r>
    <s v="ORD00032"/>
    <x v="29"/>
    <x v="0"/>
    <s v="CUST0003"/>
    <x v="3"/>
    <s v="Stellenbosch"/>
    <s v="Online"/>
    <x v="2"/>
    <x v="12"/>
    <n v="4"/>
    <n v="109.99"/>
    <n v="0"/>
    <s v="Card"/>
    <n v="439.96"/>
    <n v="0"/>
    <n v="439.96"/>
  </r>
  <r>
    <s v="ORD00033"/>
    <x v="30"/>
    <x v="0"/>
    <s v="CUST0226"/>
    <x v="2"/>
    <s v="Tzaneen"/>
    <s v="In-store"/>
    <x v="0"/>
    <x v="6"/>
    <n v="2"/>
    <n v="129.99"/>
    <n v="0"/>
    <s v="EFT"/>
    <n v="259.98"/>
    <n v="0"/>
    <n v="259.98"/>
  </r>
  <r>
    <s v="ORD00034"/>
    <x v="31"/>
    <x v="5"/>
    <s v="CUST0003"/>
    <x v="4"/>
    <s v="East London"/>
    <s v="Online"/>
    <x v="2"/>
    <x v="4"/>
    <n v="5"/>
    <n v="89.99"/>
    <n v="0.15"/>
    <s v="Card"/>
    <n v="449.95"/>
    <n v="67.489999999999995"/>
    <n v="382.46"/>
  </r>
  <r>
    <s v="ORD00035"/>
    <x v="32"/>
    <x v="6"/>
    <s v="CUST0070"/>
    <x v="1"/>
    <s v="Johannesburg"/>
    <s v="Online"/>
    <x v="1"/>
    <x v="13"/>
    <n v="6"/>
    <n v="139.99"/>
    <n v="0.1"/>
    <s v="Cash"/>
    <n v="839.94"/>
    <n v="83.99"/>
    <n v="755.95"/>
  </r>
  <r>
    <s v="ORD00036"/>
    <x v="23"/>
    <x v="0"/>
    <s v="CUST0163"/>
    <x v="0"/>
    <s v="Pietermaritzburg"/>
    <s v="Online"/>
    <x v="2"/>
    <x v="4"/>
    <n v="3"/>
    <n v="89.99"/>
    <n v="0"/>
    <s v="EFT"/>
    <n v="269.97000000000003"/>
    <n v="0"/>
    <n v="269.97000000000003"/>
  </r>
  <r>
    <s v="ORD00037"/>
    <x v="33"/>
    <x v="6"/>
    <s v="CUST0190"/>
    <x v="0"/>
    <s v="Durban"/>
    <s v="Online"/>
    <x v="0"/>
    <x v="0"/>
    <n v="6"/>
    <n v="89.99"/>
    <n v="0"/>
    <s v="Mobile Payment"/>
    <n v="539.94000000000005"/>
    <n v="0"/>
    <n v="539.94000000000005"/>
  </r>
  <r>
    <s v="ORD00038"/>
    <x v="34"/>
    <x v="3"/>
    <s v="CUST0010"/>
    <x v="1"/>
    <s v="Johannesburg"/>
    <s v="Online"/>
    <x v="3"/>
    <x v="11"/>
    <n v="6"/>
    <n v="399.99"/>
    <n v="0"/>
    <s v="Cash"/>
    <n v="2399.94"/>
    <n v="0"/>
    <n v="2399.94"/>
  </r>
  <r>
    <s v="ORD00039"/>
    <x v="35"/>
    <x v="7"/>
    <s v="CUST0054"/>
    <x v="1"/>
    <s v="Pretoria"/>
    <s v="In-store"/>
    <x v="4"/>
    <x v="10"/>
    <n v="3"/>
    <n v="129.99"/>
    <n v="0"/>
    <s v="Card"/>
    <n v="389.97"/>
    <n v="0"/>
    <n v="389.97"/>
  </r>
  <r>
    <s v="ORD00040"/>
    <x v="36"/>
    <x v="9"/>
    <s v="CUST0226"/>
    <x v="2"/>
    <s v="Polokwane"/>
    <s v="Online"/>
    <x v="2"/>
    <x v="12"/>
    <n v="2"/>
    <n v="109.99"/>
    <n v="0"/>
    <s v="Card"/>
    <n v="219.98"/>
    <n v="0"/>
    <n v="219.98"/>
  </r>
  <r>
    <s v="ORD00041"/>
    <x v="37"/>
    <x v="2"/>
    <s v="CUST0028"/>
    <x v="4"/>
    <s v="Gqeberha"/>
    <s v="Online"/>
    <x v="1"/>
    <x v="13"/>
    <n v="3"/>
    <n v="139.99"/>
    <n v="0"/>
    <s v="Card"/>
    <n v="419.97"/>
    <n v="0"/>
    <n v="419.97"/>
  </r>
  <r>
    <s v="ORD00042"/>
    <x v="38"/>
    <x v="9"/>
    <s v="CUST0058"/>
    <x v="3"/>
    <s v="Stellenbosch"/>
    <s v="In-store"/>
    <x v="4"/>
    <x v="10"/>
    <n v="3"/>
    <n v="129.99"/>
    <n v="0"/>
    <s v="Cash"/>
    <n v="389.97"/>
    <n v="0"/>
    <n v="389.97"/>
  </r>
  <r>
    <s v="ORD00043"/>
    <x v="39"/>
    <x v="1"/>
    <s v="CUST0131"/>
    <x v="0"/>
    <s v="Durban"/>
    <s v="Online"/>
    <x v="4"/>
    <x v="7"/>
    <n v="3"/>
    <n v="299.99"/>
    <n v="0"/>
    <s v="EFT"/>
    <n v="899.97"/>
    <n v="0"/>
    <n v="899.97"/>
  </r>
  <r>
    <s v="ORD00044"/>
    <x v="40"/>
    <x v="10"/>
    <s v="CUST0028"/>
    <x v="0"/>
    <s v="Durban"/>
    <s v="Online"/>
    <x v="0"/>
    <x v="0"/>
    <n v="5"/>
    <n v="89.99"/>
    <n v="0"/>
    <s v="EFT"/>
    <n v="449.95"/>
    <n v="0"/>
    <n v="449.95"/>
  </r>
  <r>
    <s v="ORD00045"/>
    <x v="41"/>
    <x v="9"/>
    <s v="CUST0066"/>
    <x v="2"/>
    <s v="Polokwane"/>
    <s v="In-store"/>
    <x v="2"/>
    <x v="12"/>
    <n v="4"/>
    <n v="109.99"/>
    <n v="0.1"/>
    <s v="Mobile Payment"/>
    <n v="439.96"/>
    <n v="44"/>
    <n v="395.96"/>
  </r>
  <r>
    <s v="ORD00046"/>
    <x v="42"/>
    <x v="11"/>
    <s v="CUST0160"/>
    <x v="0"/>
    <s v="Pietermaritzburg"/>
    <s v="Online"/>
    <x v="0"/>
    <x v="6"/>
    <n v="1"/>
    <n v="129.99"/>
    <n v="0.15"/>
    <s v="Card"/>
    <n v="129.99"/>
    <n v="19.5"/>
    <n v="110.49"/>
  </r>
  <r>
    <s v="ORD00047"/>
    <x v="43"/>
    <x v="11"/>
    <s v="CUST0142"/>
    <x v="4"/>
    <s v="East London"/>
    <s v="In-store"/>
    <x v="2"/>
    <x v="15"/>
    <n v="4"/>
    <n v="119.99"/>
    <n v="0.15"/>
    <s v="Cash"/>
    <n v="479.96"/>
    <n v="71.989999999999995"/>
    <n v="407.97"/>
  </r>
  <r>
    <s v="ORD00048"/>
    <x v="44"/>
    <x v="11"/>
    <s v="CUST0104"/>
    <x v="4"/>
    <s v="Gqeberha"/>
    <s v="In-store"/>
    <x v="4"/>
    <x v="14"/>
    <n v="5"/>
    <n v="99.99"/>
    <n v="0.1"/>
    <s v="EFT"/>
    <n v="499.95"/>
    <n v="50"/>
    <n v="449.95"/>
  </r>
  <r>
    <s v="ORD00049"/>
    <x v="45"/>
    <x v="8"/>
    <s v="CUST0173"/>
    <x v="4"/>
    <s v="East London"/>
    <s v="In-store"/>
    <x v="2"/>
    <x v="4"/>
    <n v="4"/>
    <n v="89.99"/>
    <n v="0.05"/>
    <s v="Mobile Payment"/>
    <n v="359.96"/>
    <n v="18"/>
    <n v="341.96"/>
  </r>
  <r>
    <s v="ORD00050"/>
    <x v="46"/>
    <x v="2"/>
    <s v="CUST0080"/>
    <x v="0"/>
    <s v="Pietermaritzburg"/>
    <s v="In-store"/>
    <x v="1"/>
    <x v="16"/>
    <n v="1"/>
    <n v="99.99"/>
    <n v="0"/>
    <s v="Cash"/>
    <n v="99.99"/>
    <n v="0"/>
    <n v="99.99"/>
  </r>
  <r>
    <s v="ORD00051"/>
    <x v="29"/>
    <x v="0"/>
    <s v="CUST0117"/>
    <x v="1"/>
    <s v="Johannesburg"/>
    <s v="Online"/>
    <x v="1"/>
    <x v="16"/>
    <n v="4"/>
    <n v="99.99"/>
    <n v="0.1"/>
    <s v="Cash"/>
    <n v="399.96"/>
    <n v="40"/>
    <n v="359.96"/>
  </r>
  <r>
    <s v="ORD00052"/>
    <x v="47"/>
    <x v="2"/>
    <s v="CUST0002"/>
    <x v="4"/>
    <s v="Gqeberha"/>
    <s v="In-store"/>
    <x v="4"/>
    <x v="7"/>
    <n v="2"/>
    <n v="299.99"/>
    <n v="0.15"/>
    <s v="Mobile Payment"/>
    <n v="599.98"/>
    <n v="90"/>
    <n v="509.98"/>
  </r>
  <r>
    <s v="ORD00053"/>
    <x v="48"/>
    <x v="4"/>
    <s v="CUST0235"/>
    <x v="2"/>
    <s v="Tzaneen"/>
    <s v="In-store"/>
    <x v="1"/>
    <x v="2"/>
    <n v="1"/>
    <n v="104.99"/>
    <n v="0.1"/>
    <s v="Mobile Payment"/>
    <n v="104.99"/>
    <n v="10.5"/>
    <n v="94.49"/>
  </r>
  <r>
    <s v="ORD00054"/>
    <x v="49"/>
    <x v="5"/>
    <s v="CUST0110"/>
    <x v="2"/>
    <s v="Tzaneen"/>
    <s v="Online"/>
    <x v="1"/>
    <x v="1"/>
    <n v="4"/>
    <n v="79.989999999999995"/>
    <n v="0.1"/>
    <s v="Cash"/>
    <n v="319.95999999999998"/>
    <n v="32"/>
    <n v="287.95999999999998"/>
  </r>
  <r>
    <s v="ORD00055"/>
    <x v="50"/>
    <x v="5"/>
    <s v="CUST0125"/>
    <x v="0"/>
    <s v="Durban"/>
    <s v="In-store"/>
    <x v="4"/>
    <x v="7"/>
    <n v="6"/>
    <n v="299.99"/>
    <n v="0"/>
    <s v="EFT"/>
    <n v="1799.94"/>
    <n v="0"/>
    <n v="1799.94"/>
  </r>
  <r>
    <s v="ORD00056"/>
    <x v="51"/>
    <x v="11"/>
    <s v="CUST0229"/>
    <x v="0"/>
    <s v="Durban"/>
    <s v="In-store"/>
    <x v="4"/>
    <x v="10"/>
    <n v="3"/>
    <n v="129.99"/>
    <n v="0"/>
    <s v="Cash"/>
    <n v="389.97"/>
    <n v="0"/>
    <n v="389.97"/>
  </r>
  <r>
    <s v="ORD00057"/>
    <x v="52"/>
    <x v="0"/>
    <s v="CUST0107"/>
    <x v="4"/>
    <s v="Gqeberha"/>
    <s v="Online"/>
    <x v="1"/>
    <x v="2"/>
    <n v="6"/>
    <n v="104.99"/>
    <n v="0"/>
    <s v="EFT"/>
    <n v="629.94000000000005"/>
    <n v="0"/>
    <n v="629.94000000000005"/>
  </r>
  <r>
    <s v="ORD00058"/>
    <x v="53"/>
    <x v="7"/>
    <s v="CUST0232"/>
    <x v="4"/>
    <s v="Gqeberha"/>
    <s v="In-store"/>
    <x v="3"/>
    <x v="8"/>
    <n v="2"/>
    <n v="249.99"/>
    <n v="0.05"/>
    <s v="Mobile Payment"/>
    <n v="499.98"/>
    <n v="25"/>
    <n v="474.98"/>
  </r>
  <r>
    <s v="ORD00059"/>
    <x v="54"/>
    <x v="3"/>
    <s v="CUST0192"/>
    <x v="0"/>
    <s v="Pietermaritzburg"/>
    <s v="In-store"/>
    <x v="4"/>
    <x v="10"/>
    <n v="4"/>
    <n v="129.99"/>
    <n v="0.05"/>
    <s v="Mobile Payment"/>
    <n v="519.96"/>
    <n v="26"/>
    <n v="493.96"/>
  </r>
  <r>
    <s v="ORD00060"/>
    <x v="55"/>
    <x v="11"/>
    <s v="CUST0172"/>
    <x v="4"/>
    <s v="East London"/>
    <s v="Online"/>
    <x v="1"/>
    <x v="13"/>
    <n v="1"/>
    <n v="139.99"/>
    <n v="0.05"/>
    <s v="Cash"/>
    <n v="139.99"/>
    <n v="7"/>
    <n v="132.99"/>
  </r>
  <r>
    <s v="ORD00061"/>
    <x v="56"/>
    <x v="3"/>
    <s v="CUST0170"/>
    <x v="2"/>
    <s v="Polokwane"/>
    <s v="In-store"/>
    <x v="4"/>
    <x v="10"/>
    <n v="4"/>
    <n v="129.99"/>
    <n v="0.1"/>
    <s v="Card"/>
    <n v="519.96"/>
    <n v="52"/>
    <n v="467.96"/>
  </r>
  <r>
    <s v="ORD00062"/>
    <x v="57"/>
    <x v="7"/>
    <s v="CUST0084"/>
    <x v="4"/>
    <s v="Gqeberha"/>
    <s v="In-store"/>
    <x v="4"/>
    <x v="10"/>
    <n v="1"/>
    <n v="129.99"/>
    <n v="0"/>
    <s v="Mobile Payment"/>
    <n v="129.99"/>
    <n v="0"/>
    <n v="129.99"/>
  </r>
  <r>
    <s v="ORD00063"/>
    <x v="27"/>
    <x v="0"/>
    <s v="CUST0121"/>
    <x v="4"/>
    <s v="East London"/>
    <s v="In-store"/>
    <x v="2"/>
    <x v="15"/>
    <n v="4"/>
    <n v="119.99"/>
    <n v="0"/>
    <s v="Card"/>
    <n v="479.96"/>
    <n v="0"/>
    <n v="479.96"/>
  </r>
  <r>
    <s v="ORD00064"/>
    <x v="9"/>
    <x v="4"/>
    <s v="CUST0052"/>
    <x v="1"/>
    <s v="Soweto"/>
    <s v="In-store"/>
    <x v="2"/>
    <x v="4"/>
    <n v="1"/>
    <n v="89.99"/>
    <n v="0"/>
    <s v="Cash"/>
    <n v="89.99"/>
    <n v="0"/>
    <n v="89.99"/>
  </r>
  <r>
    <s v="ORD00065"/>
    <x v="58"/>
    <x v="8"/>
    <s v="CUST0180"/>
    <x v="4"/>
    <s v="Gqeberha"/>
    <s v="Online"/>
    <x v="1"/>
    <x v="2"/>
    <n v="5"/>
    <n v="104.99"/>
    <n v="0"/>
    <s v="EFT"/>
    <n v="524.95000000000005"/>
    <n v="0"/>
    <n v="524.95000000000005"/>
  </r>
  <r>
    <s v="ORD00066"/>
    <x v="59"/>
    <x v="10"/>
    <s v="CUST0238"/>
    <x v="3"/>
    <s v="Stellenbosch"/>
    <s v="Online"/>
    <x v="1"/>
    <x v="16"/>
    <n v="1"/>
    <n v="99.99"/>
    <n v="0.1"/>
    <s v="Mobile Payment"/>
    <n v="99.99"/>
    <n v="10"/>
    <n v="89.99"/>
  </r>
  <r>
    <s v="ORD00067"/>
    <x v="60"/>
    <x v="1"/>
    <s v="CUST0063"/>
    <x v="3"/>
    <s v="Cape Town"/>
    <s v="In-store"/>
    <x v="4"/>
    <x v="14"/>
    <n v="5"/>
    <n v="99.99"/>
    <n v="0.15"/>
    <s v="EFT"/>
    <n v="499.95"/>
    <n v="74.989999999999995"/>
    <n v="424.96"/>
  </r>
  <r>
    <s v="ORD00068"/>
    <x v="61"/>
    <x v="8"/>
    <s v="CUST0170"/>
    <x v="2"/>
    <s v="Polokwane"/>
    <s v="Online"/>
    <x v="3"/>
    <x v="11"/>
    <n v="3"/>
    <n v="399.99"/>
    <n v="0.1"/>
    <s v="Card"/>
    <n v="1199.97"/>
    <n v="120"/>
    <n v="1079.97"/>
  </r>
  <r>
    <s v="ORD00069"/>
    <x v="62"/>
    <x v="8"/>
    <s v="CUST0246"/>
    <x v="1"/>
    <s v="Pretoria"/>
    <s v="Online"/>
    <x v="3"/>
    <x v="17"/>
    <n v="4"/>
    <n v="49.99"/>
    <n v="0"/>
    <s v="Mobile Payment"/>
    <n v="199.96"/>
    <n v="0"/>
    <n v="199.96"/>
  </r>
  <r>
    <s v="ORD00070"/>
    <x v="63"/>
    <x v="5"/>
    <s v="CUST0120"/>
    <x v="3"/>
    <s v="Stellenbosch"/>
    <s v="Online"/>
    <x v="1"/>
    <x v="1"/>
    <n v="5"/>
    <n v="79.989999999999995"/>
    <n v="0.1"/>
    <s v="EFT"/>
    <n v="399.95"/>
    <n v="40"/>
    <n v="359.95"/>
  </r>
  <r>
    <s v="ORD00071"/>
    <x v="64"/>
    <x v="8"/>
    <s v="CUST0146"/>
    <x v="1"/>
    <s v="Pretoria"/>
    <s v="Online"/>
    <x v="2"/>
    <x v="4"/>
    <n v="4"/>
    <n v="89.99"/>
    <n v="0"/>
    <s v="EFT"/>
    <n v="359.96"/>
    <n v="0"/>
    <n v="359.96"/>
  </r>
  <r>
    <s v="ORD00072"/>
    <x v="20"/>
    <x v="7"/>
    <s v="CUST0205"/>
    <x v="0"/>
    <s v="Durban"/>
    <s v="Online"/>
    <x v="0"/>
    <x v="3"/>
    <n v="4"/>
    <n v="119.99"/>
    <n v="0"/>
    <s v="EFT"/>
    <n v="479.96"/>
    <n v="0"/>
    <n v="479.96"/>
  </r>
  <r>
    <s v="ORD00073"/>
    <x v="14"/>
    <x v="0"/>
    <s v="CUST0062"/>
    <x v="2"/>
    <s v="Polokwane"/>
    <s v="Online"/>
    <x v="2"/>
    <x v="15"/>
    <n v="5"/>
    <n v="119.99"/>
    <n v="0"/>
    <s v="Mobile Payment"/>
    <n v="599.95000000000005"/>
    <n v="0"/>
    <n v="599.95000000000005"/>
  </r>
  <r>
    <s v="ORD00074"/>
    <x v="23"/>
    <x v="0"/>
    <s v="CUST0076"/>
    <x v="4"/>
    <s v="East London"/>
    <s v="In-store"/>
    <x v="3"/>
    <x v="5"/>
    <n v="4"/>
    <n v="199.99"/>
    <n v="0"/>
    <s v="Mobile Payment"/>
    <n v="799.96"/>
    <n v="0"/>
    <n v="799.96"/>
  </r>
  <r>
    <s v="ORD00075"/>
    <x v="65"/>
    <x v="5"/>
    <s v="CUST0089"/>
    <x v="2"/>
    <s v="Tzaneen"/>
    <s v="Online"/>
    <x v="1"/>
    <x v="13"/>
    <n v="4"/>
    <n v="139.99"/>
    <n v="0.1"/>
    <s v="EFT"/>
    <n v="559.96"/>
    <n v="56"/>
    <n v="503.96"/>
  </r>
  <r>
    <s v="ORD00076"/>
    <x v="66"/>
    <x v="6"/>
    <s v="CUST0185"/>
    <x v="0"/>
    <s v="Pietermaritzburg"/>
    <s v="In-store"/>
    <x v="2"/>
    <x v="12"/>
    <n v="3"/>
    <n v="109.99"/>
    <n v="0"/>
    <s v="EFT"/>
    <n v="329.97"/>
    <n v="0"/>
    <n v="329.97"/>
  </r>
  <r>
    <s v="ORD00077"/>
    <x v="67"/>
    <x v="4"/>
    <s v="CUST0186"/>
    <x v="3"/>
    <s v="Cape Town"/>
    <s v="Online"/>
    <x v="0"/>
    <x v="6"/>
    <n v="6"/>
    <n v="129.99"/>
    <n v="0.05"/>
    <s v="Card"/>
    <n v="779.94"/>
    <n v="39"/>
    <n v="740.94"/>
  </r>
  <r>
    <s v="ORD00078"/>
    <x v="68"/>
    <x v="10"/>
    <s v="CUST0182"/>
    <x v="3"/>
    <s v="Stellenbosch"/>
    <s v="In-store"/>
    <x v="1"/>
    <x v="13"/>
    <n v="2"/>
    <n v="139.99"/>
    <n v="0"/>
    <s v="EFT"/>
    <n v="279.98"/>
    <n v="0"/>
    <n v="279.98"/>
  </r>
  <r>
    <s v="ORD00079"/>
    <x v="69"/>
    <x v="1"/>
    <s v="CUST0223"/>
    <x v="2"/>
    <s v="Tzaneen"/>
    <s v="Online"/>
    <x v="0"/>
    <x v="0"/>
    <n v="6"/>
    <n v="89.99"/>
    <n v="0"/>
    <s v="Card"/>
    <n v="539.94000000000005"/>
    <n v="0"/>
    <n v="539.94000000000005"/>
  </r>
  <r>
    <s v="ORD00080"/>
    <x v="70"/>
    <x v="9"/>
    <s v="CUST0248"/>
    <x v="4"/>
    <s v="East London"/>
    <s v="In-store"/>
    <x v="0"/>
    <x v="9"/>
    <n v="4"/>
    <n v="149.99"/>
    <n v="0"/>
    <s v="EFT"/>
    <n v="599.96"/>
    <n v="0"/>
    <n v="599.96"/>
  </r>
  <r>
    <s v="ORD00081"/>
    <x v="19"/>
    <x v="3"/>
    <s v="CUST0162"/>
    <x v="1"/>
    <s v="Pretoria"/>
    <s v="In-store"/>
    <x v="4"/>
    <x v="10"/>
    <n v="4"/>
    <n v="129.99"/>
    <n v="0"/>
    <s v="Cash"/>
    <n v="519.96"/>
    <n v="0"/>
    <n v="519.96"/>
  </r>
  <r>
    <s v="ORD00082"/>
    <x v="71"/>
    <x v="8"/>
    <s v="CUST0156"/>
    <x v="1"/>
    <s v="Johannesburg"/>
    <s v="In-store"/>
    <x v="1"/>
    <x v="13"/>
    <n v="1"/>
    <n v="139.99"/>
    <n v="0.1"/>
    <s v="Mobile Payment"/>
    <n v="139.99"/>
    <n v="14"/>
    <n v="125.99"/>
  </r>
  <r>
    <s v="ORD00083"/>
    <x v="72"/>
    <x v="1"/>
    <s v="CUST0016"/>
    <x v="0"/>
    <s v="Pietermaritzburg"/>
    <s v="In-store"/>
    <x v="4"/>
    <x v="7"/>
    <n v="3"/>
    <n v="299.99"/>
    <n v="0.1"/>
    <s v="Cash"/>
    <n v="899.97"/>
    <n v="90"/>
    <n v="809.97"/>
  </r>
  <r>
    <s v="ORD00084"/>
    <x v="4"/>
    <x v="3"/>
    <s v="CUST0020"/>
    <x v="1"/>
    <s v="Johannesburg"/>
    <s v="In-store"/>
    <x v="1"/>
    <x v="13"/>
    <n v="2"/>
    <n v="139.99"/>
    <n v="0"/>
    <s v="Card"/>
    <n v="279.98"/>
    <n v="0"/>
    <n v="279.98"/>
  </r>
  <r>
    <s v="ORD00085"/>
    <x v="73"/>
    <x v="9"/>
    <s v="CUST0074"/>
    <x v="2"/>
    <s v="Tzaneen"/>
    <s v="Online"/>
    <x v="4"/>
    <x v="7"/>
    <n v="3"/>
    <n v="299.99"/>
    <n v="0"/>
    <s v="Mobile Payment"/>
    <n v="899.97"/>
    <n v="0"/>
    <n v="899.97"/>
  </r>
  <r>
    <s v="ORD00086"/>
    <x v="74"/>
    <x v="3"/>
    <s v="CUST0058"/>
    <x v="0"/>
    <s v="Durban"/>
    <s v="In-store"/>
    <x v="0"/>
    <x v="6"/>
    <n v="4"/>
    <n v="129.99"/>
    <n v="0"/>
    <s v="EFT"/>
    <n v="519.96"/>
    <n v="0"/>
    <n v="519.96"/>
  </r>
  <r>
    <s v="ORD00087"/>
    <x v="75"/>
    <x v="3"/>
    <s v="CUST0236"/>
    <x v="1"/>
    <s v="Johannesburg"/>
    <s v="Online"/>
    <x v="1"/>
    <x v="16"/>
    <n v="3"/>
    <n v="99.99"/>
    <n v="0.1"/>
    <s v="Mobile Payment"/>
    <n v="299.97000000000003"/>
    <n v="30"/>
    <n v="269.97000000000003"/>
  </r>
  <r>
    <s v="ORD00088"/>
    <x v="76"/>
    <x v="3"/>
    <s v="CUST0127"/>
    <x v="0"/>
    <s v="Pietermaritzburg"/>
    <s v="Online"/>
    <x v="0"/>
    <x v="3"/>
    <n v="3"/>
    <n v="119.99"/>
    <n v="0.1"/>
    <s v="Card"/>
    <n v="359.97"/>
    <n v="36"/>
    <n v="323.97000000000003"/>
  </r>
  <r>
    <s v="ORD00089"/>
    <x v="59"/>
    <x v="10"/>
    <s v="CUST0024"/>
    <x v="4"/>
    <s v="East London"/>
    <s v="In-store"/>
    <x v="3"/>
    <x v="11"/>
    <n v="5"/>
    <n v="399.99"/>
    <n v="0"/>
    <s v="Card"/>
    <n v="1999.95"/>
    <n v="0"/>
    <n v="1999.95"/>
  </r>
  <r>
    <s v="ORD00090"/>
    <x v="45"/>
    <x v="8"/>
    <s v="CUST0235"/>
    <x v="3"/>
    <s v="Stellenbosch"/>
    <s v="Online"/>
    <x v="2"/>
    <x v="18"/>
    <n v="5"/>
    <n v="179.99"/>
    <n v="0.15"/>
    <s v="Cash"/>
    <n v="899.95"/>
    <n v="134.99"/>
    <n v="764.96"/>
  </r>
  <r>
    <s v="ORD00091"/>
    <x v="77"/>
    <x v="7"/>
    <s v="CUST0086"/>
    <x v="4"/>
    <s v="Gqeberha"/>
    <s v="Online"/>
    <x v="3"/>
    <x v="8"/>
    <n v="4"/>
    <n v="249.99"/>
    <n v="0"/>
    <s v="Card"/>
    <n v="999.96"/>
    <n v="0"/>
    <n v="999.96"/>
  </r>
  <r>
    <s v="ORD00092"/>
    <x v="78"/>
    <x v="7"/>
    <s v="CUST0209"/>
    <x v="4"/>
    <s v="East London"/>
    <s v="In-store"/>
    <x v="1"/>
    <x v="13"/>
    <n v="3"/>
    <n v="139.99"/>
    <n v="0.15"/>
    <s v="Mobile Payment"/>
    <n v="419.97"/>
    <n v="63"/>
    <n v="356.97"/>
  </r>
  <r>
    <s v="ORD00093"/>
    <x v="79"/>
    <x v="5"/>
    <s v="CUST0212"/>
    <x v="0"/>
    <s v="Pietermaritzburg"/>
    <s v="In-store"/>
    <x v="0"/>
    <x v="9"/>
    <n v="1"/>
    <n v="149.99"/>
    <n v="0.05"/>
    <s v="Mobile Payment"/>
    <n v="149.99"/>
    <n v="7.5"/>
    <n v="142.49"/>
  </r>
  <r>
    <s v="ORD00094"/>
    <x v="80"/>
    <x v="1"/>
    <s v="CUST0114"/>
    <x v="3"/>
    <s v="Stellenbosch"/>
    <s v="In-store"/>
    <x v="4"/>
    <x v="10"/>
    <n v="5"/>
    <n v="129.99"/>
    <n v="0.05"/>
    <s v="Cash"/>
    <n v="649.95000000000005"/>
    <n v="32.5"/>
    <n v="617.45000000000005"/>
  </r>
  <r>
    <s v="ORD00095"/>
    <x v="81"/>
    <x v="6"/>
    <s v="CUST0008"/>
    <x v="0"/>
    <s v="Pietermaritzburg"/>
    <s v="In-store"/>
    <x v="2"/>
    <x v="4"/>
    <n v="6"/>
    <n v="89.99"/>
    <n v="0.05"/>
    <s v="Cash"/>
    <n v="539.94000000000005"/>
    <n v="27"/>
    <n v="512.94000000000005"/>
  </r>
  <r>
    <s v="ORD00096"/>
    <x v="82"/>
    <x v="0"/>
    <s v="CUST0119"/>
    <x v="2"/>
    <s v="Tzaneen"/>
    <s v="In-store"/>
    <x v="2"/>
    <x v="18"/>
    <n v="1"/>
    <n v="179.99"/>
    <n v="0"/>
    <s v="Cash"/>
    <n v="179.99"/>
    <n v="0"/>
    <n v="179.99"/>
  </r>
  <r>
    <s v="ORD00097"/>
    <x v="83"/>
    <x v="8"/>
    <s v="CUST0063"/>
    <x v="0"/>
    <s v="Pietermaritzburg"/>
    <s v="Online"/>
    <x v="4"/>
    <x v="14"/>
    <n v="4"/>
    <n v="99.99"/>
    <n v="0.05"/>
    <s v="Cash"/>
    <n v="399.96"/>
    <n v="20"/>
    <n v="379.96"/>
  </r>
  <r>
    <s v="ORD00098"/>
    <x v="84"/>
    <x v="8"/>
    <s v="CUST0088"/>
    <x v="2"/>
    <s v="Polokwane"/>
    <s v="Online"/>
    <x v="4"/>
    <x v="10"/>
    <n v="1"/>
    <n v="129.99"/>
    <n v="0"/>
    <s v="Card"/>
    <n v="129.99"/>
    <n v="0"/>
    <n v="129.99"/>
  </r>
  <r>
    <s v="ORD00099"/>
    <x v="54"/>
    <x v="3"/>
    <s v="CUST0124"/>
    <x v="2"/>
    <s v="Tzaneen"/>
    <s v="Online"/>
    <x v="2"/>
    <x v="15"/>
    <n v="2"/>
    <n v="119.99"/>
    <n v="0.05"/>
    <s v="EFT"/>
    <n v="239.98"/>
    <n v="12"/>
    <n v="227.98"/>
  </r>
  <r>
    <s v="ORD00100"/>
    <x v="85"/>
    <x v="4"/>
    <s v="CUST0147"/>
    <x v="4"/>
    <s v="East London"/>
    <s v="Online"/>
    <x v="3"/>
    <x v="8"/>
    <n v="2"/>
    <n v="249.99"/>
    <n v="0.15"/>
    <s v="Cash"/>
    <n v="499.98"/>
    <n v="75"/>
    <n v="424.98"/>
  </r>
  <r>
    <s v="ORD00101"/>
    <x v="86"/>
    <x v="7"/>
    <s v="CUST0170"/>
    <x v="0"/>
    <s v="Pietermaritzburg"/>
    <s v="In-store"/>
    <x v="4"/>
    <x v="10"/>
    <n v="6"/>
    <n v="129.99"/>
    <n v="0.05"/>
    <s v="Mobile Payment"/>
    <n v="779.94"/>
    <n v="39"/>
    <n v="740.94"/>
  </r>
  <r>
    <s v="ORD00102"/>
    <x v="5"/>
    <x v="0"/>
    <s v="CUST0135"/>
    <x v="2"/>
    <s v="Tzaneen"/>
    <s v="Online"/>
    <x v="0"/>
    <x v="6"/>
    <n v="1"/>
    <n v="129.99"/>
    <n v="0.05"/>
    <s v="Card"/>
    <n v="129.99"/>
    <n v="6.5"/>
    <n v="123.49"/>
  </r>
  <r>
    <s v="ORD00103"/>
    <x v="87"/>
    <x v="11"/>
    <s v="CUST0160"/>
    <x v="3"/>
    <s v="Cape Town"/>
    <s v="Online"/>
    <x v="1"/>
    <x v="1"/>
    <n v="4"/>
    <n v="79.989999999999995"/>
    <n v="0"/>
    <s v="Card"/>
    <n v="319.95999999999998"/>
    <n v="0"/>
    <n v="319.95999999999998"/>
  </r>
  <r>
    <s v="ORD00104"/>
    <x v="88"/>
    <x v="1"/>
    <s v="CUST0018"/>
    <x v="0"/>
    <s v="Pietermaritzburg"/>
    <s v="In-store"/>
    <x v="2"/>
    <x v="12"/>
    <n v="5"/>
    <n v="109.99"/>
    <n v="0"/>
    <s v="EFT"/>
    <n v="549.95000000000005"/>
    <n v="0"/>
    <n v="549.95000000000005"/>
  </r>
  <r>
    <s v="ORD00105"/>
    <x v="5"/>
    <x v="0"/>
    <s v="CUST0114"/>
    <x v="4"/>
    <s v="Gqeberha"/>
    <s v="In-store"/>
    <x v="1"/>
    <x v="16"/>
    <n v="6"/>
    <n v="99.99"/>
    <n v="0.15"/>
    <s v="EFT"/>
    <n v="599.94000000000005"/>
    <n v="89.99"/>
    <n v="509.95"/>
  </r>
  <r>
    <s v="ORD00106"/>
    <x v="16"/>
    <x v="7"/>
    <s v="CUST0111"/>
    <x v="0"/>
    <s v="Durban"/>
    <s v="In-store"/>
    <x v="0"/>
    <x v="0"/>
    <n v="3"/>
    <n v="89.99"/>
    <n v="0"/>
    <s v="Cash"/>
    <n v="269.97000000000003"/>
    <n v="0"/>
    <n v="269.97000000000003"/>
  </r>
  <r>
    <s v="ORD00107"/>
    <x v="89"/>
    <x v="0"/>
    <s v="CUST0157"/>
    <x v="2"/>
    <s v="Polokwane"/>
    <s v="Online"/>
    <x v="3"/>
    <x v="8"/>
    <n v="2"/>
    <n v="249.99"/>
    <n v="0"/>
    <s v="Cash"/>
    <n v="499.98"/>
    <n v="0"/>
    <n v="499.98"/>
  </r>
  <r>
    <s v="ORD00108"/>
    <x v="90"/>
    <x v="4"/>
    <s v="CUST0118"/>
    <x v="3"/>
    <s v="Cape Town"/>
    <s v="Online"/>
    <x v="4"/>
    <x v="14"/>
    <n v="4"/>
    <n v="99.99"/>
    <n v="0.15"/>
    <s v="Card"/>
    <n v="399.96"/>
    <n v="59.99"/>
    <n v="339.97"/>
  </r>
  <r>
    <s v="ORD00109"/>
    <x v="91"/>
    <x v="11"/>
    <s v="CUST0151"/>
    <x v="2"/>
    <s v="Polokwane"/>
    <s v="Online"/>
    <x v="4"/>
    <x v="7"/>
    <n v="1"/>
    <n v="299.99"/>
    <n v="0.05"/>
    <s v="Mobile Payment"/>
    <n v="299.99"/>
    <n v="15"/>
    <n v="284.99"/>
  </r>
  <r>
    <s v="ORD00110"/>
    <x v="92"/>
    <x v="0"/>
    <s v="CUST0061"/>
    <x v="0"/>
    <s v="Durban"/>
    <s v="Online"/>
    <x v="2"/>
    <x v="12"/>
    <n v="4"/>
    <n v="109.99"/>
    <n v="0.05"/>
    <s v="EFT"/>
    <n v="439.96"/>
    <n v="22"/>
    <n v="417.96"/>
  </r>
  <r>
    <s v="ORD00111"/>
    <x v="93"/>
    <x v="4"/>
    <s v="CUST0003"/>
    <x v="0"/>
    <s v="Durban"/>
    <s v="In-store"/>
    <x v="3"/>
    <x v="17"/>
    <n v="6"/>
    <n v="49.99"/>
    <n v="0.05"/>
    <s v="Mobile Payment"/>
    <n v="299.94"/>
    <n v="15"/>
    <n v="284.94"/>
  </r>
  <r>
    <s v="ORD00112"/>
    <x v="41"/>
    <x v="9"/>
    <s v="CUST0159"/>
    <x v="2"/>
    <s v="Tzaneen"/>
    <s v="Online"/>
    <x v="2"/>
    <x v="4"/>
    <n v="2"/>
    <n v="89.99"/>
    <n v="0.15"/>
    <s v="Cash"/>
    <n v="179.98"/>
    <n v="27"/>
    <n v="152.97999999999999"/>
  </r>
  <r>
    <s v="ORD00113"/>
    <x v="94"/>
    <x v="7"/>
    <s v="CUST0188"/>
    <x v="0"/>
    <s v="Pietermaritzburg"/>
    <s v="In-store"/>
    <x v="0"/>
    <x v="0"/>
    <n v="1"/>
    <n v="89.99"/>
    <n v="0.1"/>
    <s v="Card"/>
    <n v="89.99"/>
    <n v="9"/>
    <n v="80.989999999999995"/>
  </r>
  <r>
    <s v="ORD00114"/>
    <x v="76"/>
    <x v="3"/>
    <s v="CUST0225"/>
    <x v="4"/>
    <s v="Gqeberha"/>
    <s v="Online"/>
    <x v="2"/>
    <x v="15"/>
    <n v="2"/>
    <n v="119.99"/>
    <n v="0"/>
    <s v="EFT"/>
    <n v="239.98"/>
    <n v="0"/>
    <n v="239.98"/>
  </r>
  <r>
    <s v="ORD00115"/>
    <x v="82"/>
    <x v="0"/>
    <s v="CUST0120"/>
    <x v="4"/>
    <s v="East London"/>
    <s v="In-store"/>
    <x v="1"/>
    <x v="13"/>
    <n v="6"/>
    <n v="139.99"/>
    <n v="0"/>
    <s v="Cash"/>
    <n v="839.94"/>
    <n v="0"/>
    <n v="839.94"/>
  </r>
  <r>
    <s v="ORD00116"/>
    <x v="68"/>
    <x v="10"/>
    <s v="CUST0068"/>
    <x v="2"/>
    <s v="Tzaneen"/>
    <s v="In-store"/>
    <x v="1"/>
    <x v="1"/>
    <n v="1"/>
    <n v="79.989999999999995"/>
    <n v="0.05"/>
    <s v="Mobile Payment"/>
    <n v="79.989999999999995"/>
    <n v="4"/>
    <n v="75.989999999999995"/>
  </r>
  <r>
    <s v="ORD00117"/>
    <x v="21"/>
    <x v="0"/>
    <s v="CUST0173"/>
    <x v="2"/>
    <s v="Tzaneen"/>
    <s v="In-store"/>
    <x v="2"/>
    <x v="15"/>
    <n v="6"/>
    <n v="119.99"/>
    <n v="0"/>
    <s v="Mobile Payment"/>
    <n v="719.94"/>
    <n v="0"/>
    <n v="719.94"/>
  </r>
  <r>
    <s v="ORD00118"/>
    <x v="95"/>
    <x v="1"/>
    <s v="CUST0211"/>
    <x v="2"/>
    <s v="Polokwane"/>
    <s v="Online"/>
    <x v="0"/>
    <x v="9"/>
    <n v="6"/>
    <n v="149.99"/>
    <n v="0"/>
    <s v="EFT"/>
    <n v="899.94"/>
    <n v="0"/>
    <n v="899.94"/>
  </r>
  <r>
    <s v="ORD00119"/>
    <x v="10"/>
    <x v="5"/>
    <s v="CUST0030"/>
    <x v="3"/>
    <s v="Cape Town"/>
    <s v="In-store"/>
    <x v="4"/>
    <x v="10"/>
    <n v="1"/>
    <n v="129.99"/>
    <n v="0"/>
    <s v="Cash"/>
    <n v="129.99"/>
    <n v="0"/>
    <n v="129.99"/>
  </r>
  <r>
    <s v="ORD00120"/>
    <x v="96"/>
    <x v="2"/>
    <s v="CUST0243"/>
    <x v="4"/>
    <s v="East London"/>
    <s v="Online"/>
    <x v="3"/>
    <x v="5"/>
    <n v="3"/>
    <n v="199.99"/>
    <n v="0.15"/>
    <s v="Cash"/>
    <n v="599.97"/>
    <n v="90"/>
    <n v="509.97"/>
  </r>
  <r>
    <s v="ORD00121"/>
    <x v="97"/>
    <x v="4"/>
    <s v="CUST0009"/>
    <x v="1"/>
    <s v="Pretoria"/>
    <s v="Online"/>
    <x v="4"/>
    <x v="14"/>
    <n v="5"/>
    <n v="99.99"/>
    <n v="0.05"/>
    <s v="Cash"/>
    <n v="499.95"/>
    <n v="25"/>
    <n v="474.95"/>
  </r>
  <r>
    <s v="ORD00122"/>
    <x v="98"/>
    <x v="7"/>
    <s v="CUST0140"/>
    <x v="3"/>
    <s v="Stellenbosch"/>
    <s v="Online"/>
    <x v="4"/>
    <x v="7"/>
    <n v="1"/>
    <n v="299.99"/>
    <n v="0.15"/>
    <s v="Card"/>
    <n v="299.99"/>
    <n v="45"/>
    <n v="254.99"/>
  </r>
  <r>
    <s v="ORD00123"/>
    <x v="99"/>
    <x v="2"/>
    <s v="CUST0055"/>
    <x v="3"/>
    <s v="Cape Town"/>
    <s v="In-store"/>
    <x v="4"/>
    <x v="7"/>
    <n v="4"/>
    <n v="299.99"/>
    <n v="0"/>
    <s v="Card"/>
    <n v="1199.96"/>
    <n v="0"/>
    <n v="1199.96"/>
  </r>
  <r>
    <s v="ORD00124"/>
    <x v="100"/>
    <x v="9"/>
    <s v="CUST0151"/>
    <x v="3"/>
    <s v="Cape Town"/>
    <s v="In-store"/>
    <x v="2"/>
    <x v="4"/>
    <n v="1"/>
    <n v="89.99"/>
    <n v="0.1"/>
    <s v="Cash"/>
    <n v="89.99"/>
    <n v="9"/>
    <n v="80.989999999999995"/>
  </r>
  <r>
    <s v="ORD00125"/>
    <x v="101"/>
    <x v="6"/>
    <s v="CUST0139"/>
    <x v="2"/>
    <s v="Polokwane"/>
    <s v="Online"/>
    <x v="2"/>
    <x v="4"/>
    <n v="3"/>
    <n v="89.99"/>
    <n v="0"/>
    <s v="Cash"/>
    <n v="269.97000000000003"/>
    <n v="0"/>
    <n v="269.97000000000003"/>
  </r>
  <r>
    <s v="ORD00126"/>
    <x v="102"/>
    <x v="3"/>
    <s v="CUST0083"/>
    <x v="3"/>
    <s v="Cape Town"/>
    <s v="In-store"/>
    <x v="0"/>
    <x v="0"/>
    <n v="3"/>
    <n v="89.99"/>
    <n v="0"/>
    <s v="Cash"/>
    <n v="269.97000000000003"/>
    <n v="0"/>
    <n v="269.97000000000003"/>
  </r>
  <r>
    <s v="ORD00127"/>
    <x v="52"/>
    <x v="0"/>
    <s v="CUST0122"/>
    <x v="3"/>
    <s v="Stellenbosch"/>
    <s v="Online"/>
    <x v="2"/>
    <x v="18"/>
    <n v="5"/>
    <n v="179.99"/>
    <n v="0"/>
    <s v="EFT"/>
    <n v="899.95"/>
    <n v="0"/>
    <n v="899.95"/>
  </r>
  <r>
    <s v="ORD00128"/>
    <x v="103"/>
    <x v="2"/>
    <s v="CUST0134"/>
    <x v="4"/>
    <s v="Gqeberha"/>
    <s v="Online"/>
    <x v="3"/>
    <x v="11"/>
    <n v="5"/>
    <n v="399.99"/>
    <n v="0"/>
    <s v="Mobile Payment"/>
    <n v="1999.95"/>
    <n v="0"/>
    <n v="1999.95"/>
  </r>
  <r>
    <s v="ORD00129"/>
    <x v="21"/>
    <x v="0"/>
    <s v="CUST0126"/>
    <x v="4"/>
    <s v="East London"/>
    <s v="Online"/>
    <x v="0"/>
    <x v="0"/>
    <n v="4"/>
    <n v="89.99"/>
    <n v="0.15"/>
    <s v="Card"/>
    <n v="359.96"/>
    <n v="53.99"/>
    <n v="305.97000000000003"/>
  </r>
  <r>
    <s v="ORD00130"/>
    <x v="93"/>
    <x v="4"/>
    <s v="CUST0160"/>
    <x v="2"/>
    <s v="Polokwane"/>
    <s v="Online"/>
    <x v="0"/>
    <x v="9"/>
    <n v="1"/>
    <n v="149.99"/>
    <n v="0"/>
    <s v="Mobile Payment"/>
    <n v="149.99"/>
    <n v="0"/>
    <n v="149.99"/>
  </r>
  <r>
    <s v="ORD00131"/>
    <x v="82"/>
    <x v="0"/>
    <s v="CUST0219"/>
    <x v="4"/>
    <s v="East London"/>
    <s v="In-store"/>
    <x v="3"/>
    <x v="17"/>
    <n v="1"/>
    <n v="49.99"/>
    <n v="0.15"/>
    <s v="Mobile Payment"/>
    <n v="49.99"/>
    <n v="7.5"/>
    <n v="42.49"/>
  </r>
  <r>
    <s v="ORD00132"/>
    <x v="84"/>
    <x v="8"/>
    <s v="CUST0187"/>
    <x v="4"/>
    <s v="East London"/>
    <s v="In-store"/>
    <x v="4"/>
    <x v="10"/>
    <n v="4"/>
    <n v="129.99"/>
    <n v="0.05"/>
    <s v="EFT"/>
    <n v="519.96"/>
    <n v="26"/>
    <n v="493.96"/>
  </r>
  <r>
    <s v="ORD00133"/>
    <x v="104"/>
    <x v="8"/>
    <s v="CUST0018"/>
    <x v="0"/>
    <s v="Pietermaritzburg"/>
    <s v="In-store"/>
    <x v="4"/>
    <x v="7"/>
    <n v="2"/>
    <n v="299.99"/>
    <n v="0.15"/>
    <s v="Card"/>
    <n v="599.98"/>
    <n v="90"/>
    <n v="509.98"/>
  </r>
  <r>
    <s v="ORD00134"/>
    <x v="101"/>
    <x v="6"/>
    <s v="CUST0143"/>
    <x v="1"/>
    <s v="Soweto"/>
    <s v="In-store"/>
    <x v="0"/>
    <x v="3"/>
    <n v="6"/>
    <n v="119.99"/>
    <n v="0"/>
    <s v="EFT"/>
    <n v="719.94"/>
    <n v="0"/>
    <n v="719.94"/>
  </r>
  <r>
    <s v="ORD00135"/>
    <x v="105"/>
    <x v="4"/>
    <s v="CUST0154"/>
    <x v="0"/>
    <s v="Pietermaritzburg"/>
    <s v="Online"/>
    <x v="0"/>
    <x v="3"/>
    <n v="6"/>
    <n v="119.99"/>
    <n v="0"/>
    <s v="EFT"/>
    <n v="719.94"/>
    <n v="0"/>
    <n v="719.94"/>
  </r>
  <r>
    <s v="ORD00136"/>
    <x v="106"/>
    <x v="11"/>
    <s v="CUST0217"/>
    <x v="3"/>
    <s v="Stellenbosch"/>
    <s v="Online"/>
    <x v="0"/>
    <x v="6"/>
    <n v="2"/>
    <n v="129.99"/>
    <n v="0"/>
    <s v="Card"/>
    <n v="259.98"/>
    <n v="0"/>
    <n v="259.98"/>
  </r>
  <r>
    <s v="ORD00137"/>
    <x v="107"/>
    <x v="2"/>
    <s v="CUST0069"/>
    <x v="4"/>
    <s v="Gqeberha"/>
    <s v="In-store"/>
    <x v="2"/>
    <x v="4"/>
    <n v="5"/>
    <n v="89.99"/>
    <n v="0.15"/>
    <s v="Cash"/>
    <n v="449.95"/>
    <n v="67.489999999999995"/>
    <n v="382.46"/>
  </r>
  <r>
    <s v="ORD00138"/>
    <x v="108"/>
    <x v="6"/>
    <s v="CUST0145"/>
    <x v="0"/>
    <s v="Pietermaritzburg"/>
    <s v="Online"/>
    <x v="2"/>
    <x v="15"/>
    <n v="1"/>
    <n v="119.99"/>
    <n v="0"/>
    <s v="Card"/>
    <n v="119.99"/>
    <n v="0"/>
    <n v="119.99"/>
  </r>
  <r>
    <s v="ORD00139"/>
    <x v="109"/>
    <x v="7"/>
    <s v="CUST0108"/>
    <x v="1"/>
    <s v="Soweto"/>
    <s v="Online"/>
    <x v="1"/>
    <x v="16"/>
    <n v="5"/>
    <n v="99.99"/>
    <n v="0"/>
    <s v="EFT"/>
    <n v="499.95"/>
    <n v="0"/>
    <n v="499.95"/>
  </r>
  <r>
    <s v="ORD00140"/>
    <x v="14"/>
    <x v="0"/>
    <s v="CUST0227"/>
    <x v="0"/>
    <s v="Pietermaritzburg"/>
    <s v="In-store"/>
    <x v="1"/>
    <x v="13"/>
    <n v="5"/>
    <n v="139.99"/>
    <n v="0.1"/>
    <s v="Cash"/>
    <n v="699.95"/>
    <n v="70"/>
    <n v="629.95000000000005"/>
  </r>
  <r>
    <s v="ORD00141"/>
    <x v="110"/>
    <x v="8"/>
    <s v="CUST0125"/>
    <x v="1"/>
    <s v="Pretoria"/>
    <s v="Online"/>
    <x v="1"/>
    <x v="16"/>
    <n v="4"/>
    <n v="99.99"/>
    <n v="0.15"/>
    <s v="Mobile Payment"/>
    <n v="399.96"/>
    <n v="59.99"/>
    <n v="339.97"/>
  </r>
  <r>
    <s v="ORD00142"/>
    <x v="111"/>
    <x v="0"/>
    <s v="CUST0073"/>
    <x v="2"/>
    <s v="Polokwane"/>
    <s v="Online"/>
    <x v="2"/>
    <x v="4"/>
    <n v="3"/>
    <n v="89.99"/>
    <n v="0.05"/>
    <s v="EFT"/>
    <n v="269.97000000000003"/>
    <n v="13.5"/>
    <n v="256.47000000000003"/>
  </r>
  <r>
    <s v="ORD00143"/>
    <x v="44"/>
    <x v="11"/>
    <s v="CUST0243"/>
    <x v="4"/>
    <s v="Gqeberha"/>
    <s v="In-store"/>
    <x v="0"/>
    <x v="6"/>
    <n v="1"/>
    <n v="129.99"/>
    <n v="0"/>
    <s v="Cash"/>
    <n v="129.99"/>
    <n v="0"/>
    <n v="129.99"/>
  </r>
  <r>
    <s v="ORD00144"/>
    <x v="112"/>
    <x v="8"/>
    <s v="CUST0045"/>
    <x v="0"/>
    <s v="Durban"/>
    <s v="In-store"/>
    <x v="2"/>
    <x v="15"/>
    <n v="1"/>
    <n v="119.99"/>
    <n v="0.05"/>
    <s v="Mobile Payment"/>
    <n v="119.99"/>
    <n v="6"/>
    <n v="113.99"/>
  </r>
  <r>
    <s v="ORD00145"/>
    <x v="113"/>
    <x v="10"/>
    <s v="CUST0112"/>
    <x v="2"/>
    <s v="Tzaneen"/>
    <s v="In-store"/>
    <x v="3"/>
    <x v="5"/>
    <n v="1"/>
    <n v="199.99"/>
    <n v="0.05"/>
    <s v="Mobile Payment"/>
    <n v="199.99"/>
    <n v="10"/>
    <n v="189.99"/>
  </r>
  <r>
    <s v="ORD00146"/>
    <x v="114"/>
    <x v="2"/>
    <s v="CUST0164"/>
    <x v="2"/>
    <s v="Tzaneen"/>
    <s v="Online"/>
    <x v="0"/>
    <x v="9"/>
    <n v="5"/>
    <n v="149.99"/>
    <n v="0.05"/>
    <s v="EFT"/>
    <n v="749.95"/>
    <n v="37.5"/>
    <n v="712.45"/>
  </r>
  <r>
    <s v="ORD00147"/>
    <x v="115"/>
    <x v="8"/>
    <s v="CUST0213"/>
    <x v="1"/>
    <s v="Pretoria"/>
    <s v="Online"/>
    <x v="0"/>
    <x v="3"/>
    <n v="2"/>
    <n v="119.99"/>
    <n v="0.1"/>
    <s v="Card"/>
    <n v="239.98"/>
    <n v="24"/>
    <n v="215.98"/>
  </r>
  <r>
    <s v="ORD00148"/>
    <x v="116"/>
    <x v="5"/>
    <s v="CUST0021"/>
    <x v="3"/>
    <s v="Stellenbosch"/>
    <s v="Online"/>
    <x v="4"/>
    <x v="10"/>
    <n v="5"/>
    <n v="129.99"/>
    <n v="0.05"/>
    <s v="EFT"/>
    <n v="649.95000000000005"/>
    <n v="32.5"/>
    <n v="617.45000000000005"/>
  </r>
  <r>
    <s v="ORD00149"/>
    <x v="117"/>
    <x v="1"/>
    <s v="CUST0030"/>
    <x v="0"/>
    <s v="Durban"/>
    <s v="In-store"/>
    <x v="2"/>
    <x v="4"/>
    <n v="1"/>
    <n v="89.99"/>
    <n v="0.1"/>
    <s v="EFT"/>
    <n v="89.99"/>
    <n v="9"/>
    <n v="80.989999999999995"/>
  </r>
  <r>
    <s v="ORD00150"/>
    <x v="118"/>
    <x v="9"/>
    <s v="CUST0045"/>
    <x v="3"/>
    <s v="Cape Town"/>
    <s v="In-store"/>
    <x v="2"/>
    <x v="4"/>
    <n v="2"/>
    <n v="89.99"/>
    <n v="0"/>
    <s v="Card"/>
    <n v="179.98"/>
    <n v="0"/>
    <n v="179.98"/>
  </r>
  <r>
    <s v="ORD00151"/>
    <x v="119"/>
    <x v="1"/>
    <s v="CUST0163"/>
    <x v="4"/>
    <s v="East London"/>
    <s v="Online"/>
    <x v="1"/>
    <x v="1"/>
    <n v="6"/>
    <n v="79.989999999999995"/>
    <n v="0.1"/>
    <s v="EFT"/>
    <n v="479.94"/>
    <n v="47.99"/>
    <n v="431.95"/>
  </r>
  <r>
    <s v="ORD00152"/>
    <x v="120"/>
    <x v="11"/>
    <s v="CUST0204"/>
    <x v="1"/>
    <s v="Pretoria"/>
    <s v="Online"/>
    <x v="1"/>
    <x v="1"/>
    <n v="4"/>
    <n v="79.989999999999995"/>
    <n v="0.15"/>
    <s v="Card"/>
    <n v="319.95999999999998"/>
    <n v="47.99"/>
    <n v="271.97000000000003"/>
  </r>
  <r>
    <s v="ORD00153"/>
    <x v="121"/>
    <x v="10"/>
    <s v="CUST0095"/>
    <x v="0"/>
    <s v="Pietermaritzburg"/>
    <s v="Online"/>
    <x v="2"/>
    <x v="18"/>
    <n v="4"/>
    <n v="179.99"/>
    <n v="0"/>
    <s v="Card"/>
    <n v="719.96"/>
    <n v="0"/>
    <n v="719.96"/>
  </r>
  <r>
    <s v="ORD00154"/>
    <x v="122"/>
    <x v="1"/>
    <s v="CUST0049"/>
    <x v="4"/>
    <s v="Gqeberha"/>
    <s v="Online"/>
    <x v="0"/>
    <x v="3"/>
    <n v="4"/>
    <n v="119.99"/>
    <n v="0.1"/>
    <s v="Mobile Payment"/>
    <n v="479.96"/>
    <n v="48"/>
    <n v="431.96"/>
  </r>
  <r>
    <s v="ORD00155"/>
    <x v="14"/>
    <x v="0"/>
    <s v="CUST0130"/>
    <x v="1"/>
    <s v="Pretoria"/>
    <s v="In-store"/>
    <x v="3"/>
    <x v="5"/>
    <n v="1"/>
    <n v="199.99"/>
    <n v="0"/>
    <s v="Card"/>
    <n v="199.99"/>
    <n v="0"/>
    <n v="199.99"/>
  </r>
  <r>
    <s v="ORD00156"/>
    <x v="123"/>
    <x v="4"/>
    <s v="CUST0100"/>
    <x v="4"/>
    <s v="Gqeberha"/>
    <s v="Online"/>
    <x v="1"/>
    <x v="1"/>
    <n v="3"/>
    <n v="79.989999999999995"/>
    <n v="0"/>
    <s v="EFT"/>
    <n v="239.97"/>
    <n v="0"/>
    <n v="239.97"/>
  </r>
  <r>
    <s v="ORD00157"/>
    <x v="124"/>
    <x v="3"/>
    <s v="CUST0174"/>
    <x v="0"/>
    <s v="Durban"/>
    <s v="Online"/>
    <x v="3"/>
    <x v="11"/>
    <n v="3"/>
    <n v="399.99"/>
    <n v="0"/>
    <s v="EFT"/>
    <n v="1199.97"/>
    <n v="0"/>
    <n v="1199.97"/>
  </r>
  <r>
    <s v="ORD00158"/>
    <x v="125"/>
    <x v="6"/>
    <s v="CUST0235"/>
    <x v="0"/>
    <s v="Durban"/>
    <s v="Online"/>
    <x v="2"/>
    <x v="4"/>
    <n v="5"/>
    <n v="89.99"/>
    <n v="0.15"/>
    <s v="EFT"/>
    <n v="449.95"/>
    <n v="67.489999999999995"/>
    <n v="382.46"/>
  </r>
  <r>
    <s v="ORD00159"/>
    <x v="109"/>
    <x v="7"/>
    <s v="CUST0165"/>
    <x v="2"/>
    <s v="Polokwane"/>
    <s v="Online"/>
    <x v="4"/>
    <x v="10"/>
    <n v="3"/>
    <n v="129.99"/>
    <n v="0.1"/>
    <s v="Cash"/>
    <n v="389.97"/>
    <n v="39"/>
    <n v="350.97"/>
  </r>
  <r>
    <s v="ORD00160"/>
    <x v="126"/>
    <x v="11"/>
    <s v="CUST0047"/>
    <x v="4"/>
    <s v="East London"/>
    <s v="In-store"/>
    <x v="3"/>
    <x v="11"/>
    <n v="1"/>
    <n v="399.99"/>
    <n v="0"/>
    <s v="EFT"/>
    <n v="399.99"/>
    <n v="0"/>
    <n v="399.99"/>
  </r>
  <r>
    <s v="ORD00161"/>
    <x v="43"/>
    <x v="11"/>
    <s v="CUST0217"/>
    <x v="3"/>
    <s v="Cape Town"/>
    <s v="In-store"/>
    <x v="4"/>
    <x v="10"/>
    <n v="2"/>
    <n v="129.99"/>
    <n v="0"/>
    <s v="Card"/>
    <n v="259.98"/>
    <n v="0"/>
    <n v="259.98"/>
  </r>
  <r>
    <s v="ORD00162"/>
    <x v="127"/>
    <x v="9"/>
    <s v="CUST0213"/>
    <x v="2"/>
    <s v="Tzaneen"/>
    <s v="In-store"/>
    <x v="2"/>
    <x v="4"/>
    <n v="2"/>
    <n v="89.99"/>
    <n v="0"/>
    <s v="Mobile Payment"/>
    <n v="179.98"/>
    <n v="0"/>
    <n v="179.98"/>
  </r>
  <r>
    <s v="ORD00163"/>
    <x v="128"/>
    <x v="4"/>
    <s v="CUST0193"/>
    <x v="0"/>
    <s v="Durban"/>
    <s v="Online"/>
    <x v="0"/>
    <x v="3"/>
    <n v="4"/>
    <n v="119.99"/>
    <n v="0.1"/>
    <s v="Cash"/>
    <n v="479.96"/>
    <n v="48"/>
    <n v="431.96"/>
  </r>
  <r>
    <s v="ORD00164"/>
    <x v="129"/>
    <x v="2"/>
    <s v="CUST0243"/>
    <x v="0"/>
    <s v="Pietermaritzburg"/>
    <s v="Online"/>
    <x v="3"/>
    <x v="5"/>
    <n v="2"/>
    <n v="199.99"/>
    <n v="0"/>
    <s v="Mobile Payment"/>
    <n v="399.98"/>
    <n v="0"/>
    <n v="399.98"/>
  </r>
  <r>
    <s v="ORD00165"/>
    <x v="130"/>
    <x v="1"/>
    <s v="CUST0036"/>
    <x v="2"/>
    <s v="Tzaneen"/>
    <s v="Online"/>
    <x v="2"/>
    <x v="12"/>
    <n v="2"/>
    <n v="109.99"/>
    <n v="0"/>
    <s v="Card"/>
    <n v="219.98"/>
    <n v="0"/>
    <n v="219.98"/>
  </r>
  <r>
    <s v="ORD00166"/>
    <x v="131"/>
    <x v="6"/>
    <s v="CUST0073"/>
    <x v="2"/>
    <s v="Polokwane"/>
    <s v="In-store"/>
    <x v="4"/>
    <x v="7"/>
    <n v="6"/>
    <n v="299.99"/>
    <n v="0.1"/>
    <s v="Cash"/>
    <n v="1799.94"/>
    <n v="179.99"/>
    <n v="1619.95"/>
  </r>
  <r>
    <s v="ORD00167"/>
    <x v="132"/>
    <x v="9"/>
    <s v="CUST0210"/>
    <x v="2"/>
    <s v="Polokwane"/>
    <s v="Online"/>
    <x v="2"/>
    <x v="12"/>
    <n v="4"/>
    <n v="109.99"/>
    <n v="0"/>
    <s v="EFT"/>
    <n v="439.96"/>
    <n v="0"/>
    <n v="439.96"/>
  </r>
  <r>
    <s v="ORD00168"/>
    <x v="133"/>
    <x v="4"/>
    <s v="CUST0099"/>
    <x v="1"/>
    <s v="Pretoria"/>
    <s v="In-store"/>
    <x v="0"/>
    <x v="3"/>
    <n v="5"/>
    <n v="119.99"/>
    <n v="0"/>
    <s v="EFT"/>
    <n v="599.95000000000005"/>
    <n v="0"/>
    <n v="599.95000000000005"/>
  </r>
  <r>
    <s v="ORD00169"/>
    <x v="134"/>
    <x v="11"/>
    <s v="CUST0203"/>
    <x v="0"/>
    <s v="Durban"/>
    <s v="In-store"/>
    <x v="1"/>
    <x v="16"/>
    <n v="6"/>
    <n v="99.99"/>
    <n v="0.15"/>
    <s v="Cash"/>
    <n v="599.94000000000005"/>
    <n v="89.99"/>
    <n v="509.95"/>
  </r>
  <r>
    <s v="ORD00170"/>
    <x v="135"/>
    <x v="8"/>
    <s v="CUST0158"/>
    <x v="4"/>
    <s v="Gqeberha"/>
    <s v="In-store"/>
    <x v="0"/>
    <x v="9"/>
    <n v="6"/>
    <n v="149.99"/>
    <n v="0.05"/>
    <s v="Card"/>
    <n v="899.94"/>
    <n v="45"/>
    <n v="854.94"/>
  </r>
  <r>
    <s v="ORD00171"/>
    <x v="136"/>
    <x v="1"/>
    <s v="CUST0136"/>
    <x v="3"/>
    <s v="Cape Town"/>
    <s v="Online"/>
    <x v="0"/>
    <x v="9"/>
    <n v="5"/>
    <n v="149.99"/>
    <n v="0.15"/>
    <s v="Card"/>
    <n v="749.95"/>
    <n v="112.49"/>
    <n v="637.46"/>
  </r>
  <r>
    <s v="ORD00172"/>
    <x v="137"/>
    <x v="8"/>
    <s v="CUST0164"/>
    <x v="0"/>
    <s v="Durban"/>
    <s v="Online"/>
    <x v="2"/>
    <x v="4"/>
    <n v="1"/>
    <n v="89.99"/>
    <n v="0"/>
    <s v="Card"/>
    <n v="89.99"/>
    <n v="0"/>
    <n v="89.99"/>
  </r>
  <r>
    <s v="ORD00173"/>
    <x v="138"/>
    <x v="3"/>
    <s v="CUST0062"/>
    <x v="2"/>
    <s v="Polokwane"/>
    <s v="In-store"/>
    <x v="0"/>
    <x v="3"/>
    <n v="6"/>
    <n v="119.99"/>
    <n v="0.1"/>
    <s v="EFT"/>
    <n v="719.94"/>
    <n v="71.989999999999995"/>
    <n v="647.95000000000005"/>
  </r>
  <r>
    <s v="ORD00174"/>
    <x v="71"/>
    <x v="8"/>
    <s v="CUST0048"/>
    <x v="2"/>
    <s v="Tzaneen"/>
    <s v="In-store"/>
    <x v="4"/>
    <x v="10"/>
    <n v="2"/>
    <n v="129.99"/>
    <n v="0.1"/>
    <s v="EFT"/>
    <n v="259.98"/>
    <n v="26"/>
    <n v="233.98"/>
  </r>
  <r>
    <s v="ORD00175"/>
    <x v="139"/>
    <x v="7"/>
    <s v="CUST0096"/>
    <x v="4"/>
    <s v="East London"/>
    <s v="Online"/>
    <x v="0"/>
    <x v="0"/>
    <n v="1"/>
    <n v="89.99"/>
    <n v="0.15"/>
    <s v="Card"/>
    <n v="89.99"/>
    <n v="13.5"/>
    <n v="76.489999999999995"/>
  </r>
  <r>
    <s v="ORD00176"/>
    <x v="60"/>
    <x v="1"/>
    <s v="CUST0027"/>
    <x v="0"/>
    <s v="Durban"/>
    <s v="Online"/>
    <x v="2"/>
    <x v="18"/>
    <n v="6"/>
    <n v="179.99"/>
    <n v="0.15"/>
    <s v="Cash"/>
    <n v="1079.94"/>
    <n v="161.99"/>
    <n v="917.95"/>
  </r>
  <r>
    <s v="ORD00177"/>
    <x v="140"/>
    <x v="2"/>
    <s v="CUST0119"/>
    <x v="2"/>
    <s v="Tzaneen"/>
    <s v="Online"/>
    <x v="0"/>
    <x v="9"/>
    <n v="6"/>
    <n v="149.99"/>
    <n v="0"/>
    <s v="Cash"/>
    <n v="899.94"/>
    <n v="0"/>
    <n v="899.94"/>
  </r>
  <r>
    <s v="ORD00178"/>
    <x v="141"/>
    <x v="10"/>
    <s v="CUST0203"/>
    <x v="4"/>
    <s v="Gqeberha"/>
    <s v="In-store"/>
    <x v="1"/>
    <x v="16"/>
    <n v="3"/>
    <n v="99.99"/>
    <n v="0"/>
    <s v="Card"/>
    <n v="299.97000000000003"/>
    <n v="0"/>
    <n v="299.97000000000003"/>
  </r>
  <r>
    <s v="ORD00179"/>
    <x v="142"/>
    <x v="4"/>
    <s v="CUST0010"/>
    <x v="2"/>
    <s v="Tzaneen"/>
    <s v="In-store"/>
    <x v="2"/>
    <x v="15"/>
    <n v="5"/>
    <n v="119.99"/>
    <n v="0.05"/>
    <s v="EFT"/>
    <n v="599.95000000000005"/>
    <n v="30"/>
    <n v="569.95000000000005"/>
  </r>
  <r>
    <s v="ORD00180"/>
    <x v="143"/>
    <x v="8"/>
    <s v="CUST0228"/>
    <x v="0"/>
    <s v="Pietermaritzburg"/>
    <s v="Online"/>
    <x v="2"/>
    <x v="18"/>
    <n v="1"/>
    <n v="179.99"/>
    <n v="0"/>
    <s v="Mobile Payment"/>
    <n v="179.99"/>
    <n v="0"/>
    <n v="179.99"/>
  </r>
  <r>
    <s v="ORD00181"/>
    <x v="98"/>
    <x v="7"/>
    <s v="CUST0237"/>
    <x v="3"/>
    <s v="Stellenbosch"/>
    <s v="Online"/>
    <x v="4"/>
    <x v="7"/>
    <n v="6"/>
    <n v="299.99"/>
    <n v="0.05"/>
    <s v="Card"/>
    <n v="1799.94"/>
    <n v="90"/>
    <n v="1709.94"/>
  </r>
  <r>
    <s v="ORD00182"/>
    <x v="144"/>
    <x v="11"/>
    <s v="CUST0027"/>
    <x v="4"/>
    <s v="Gqeberha"/>
    <s v="In-store"/>
    <x v="4"/>
    <x v="10"/>
    <n v="5"/>
    <n v="129.99"/>
    <n v="0"/>
    <s v="EFT"/>
    <n v="649.95000000000005"/>
    <n v="0"/>
    <n v="649.95000000000005"/>
  </r>
  <r>
    <s v="ORD00183"/>
    <x v="145"/>
    <x v="8"/>
    <s v="CUST0090"/>
    <x v="4"/>
    <s v="East London"/>
    <s v="Online"/>
    <x v="2"/>
    <x v="15"/>
    <n v="2"/>
    <n v="119.99"/>
    <n v="0.15"/>
    <s v="Card"/>
    <n v="239.98"/>
    <n v="36"/>
    <n v="203.98"/>
  </r>
  <r>
    <s v="ORD00184"/>
    <x v="69"/>
    <x v="1"/>
    <s v="CUST0104"/>
    <x v="0"/>
    <s v="Durban"/>
    <s v="Online"/>
    <x v="2"/>
    <x v="12"/>
    <n v="1"/>
    <n v="109.99"/>
    <n v="0.15"/>
    <s v="Cash"/>
    <n v="109.99"/>
    <n v="16.5"/>
    <n v="93.49"/>
  </r>
  <r>
    <s v="ORD00185"/>
    <x v="146"/>
    <x v="0"/>
    <s v="CUST0061"/>
    <x v="2"/>
    <s v="Tzaneen"/>
    <s v="Online"/>
    <x v="0"/>
    <x v="6"/>
    <n v="1"/>
    <n v="129.99"/>
    <n v="0"/>
    <s v="EFT"/>
    <n v="129.99"/>
    <n v="0"/>
    <n v="129.99"/>
  </r>
  <r>
    <s v="ORD00186"/>
    <x v="147"/>
    <x v="8"/>
    <s v="CUST0243"/>
    <x v="1"/>
    <s v="Soweto"/>
    <s v="Online"/>
    <x v="4"/>
    <x v="14"/>
    <n v="2"/>
    <n v="99.99"/>
    <n v="0.15"/>
    <s v="EFT"/>
    <n v="199.98"/>
    <n v="30"/>
    <n v="169.98"/>
  </r>
  <r>
    <s v="ORD00187"/>
    <x v="148"/>
    <x v="7"/>
    <s v="CUST0081"/>
    <x v="2"/>
    <s v="Polokwane"/>
    <s v="Online"/>
    <x v="4"/>
    <x v="10"/>
    <n v="5"/>
    <n v="129.99"/>
    <n v="0"/>
    <s v="Cash"/>
    <n v="649.95000000000005"/>
    <n v="0"/>
    <n v="649.95000000000005"/>
  </r>
  <r>
    <s v="ORD00188"/>
    <x v="149"/>
    <x v="3"/>
    <s v="CUST0031"/>
    <x v="3"/>
    <s v="Stellenbosch"/>
    <s v="Online"/>
    <x v="0"/>
    <x v="0"/>
    <n v="5"/>
    <n v="89.99"/>
    <n v="0.05"/>
    <s v="EFT"/>
    <n v="449.95"/>
    <n v="22.5"/>
    <n v="427.45"/>
  </r>
  <r>
    <s v="ORD00189"/>
    <x v="150"/>
    <x v="9"/>
    <s v="CUST0032"/>
    <x v="2"/>
    <s v="Tzaneen"/>
    <s v="In-store"/>
    <x v="4"/>
    <x v="10"/>
    <n v="6"/>
    <n v="129.99"/>
    <n v="0.05"/>
    <s v="Card"/>
    <n v="779.94"/>
    <n v="39"/>
    <n v="740.94"/>
  </r>
  <r>
    <s v="ORD00190"/>
    <x v="151"/>
    <x v="2"/>
    <s v="CUST0089"/>
    <x v="4"/>
    <s v="Gqeberha"/>
    <s v="In-store"/>
    <x v="4"/>
    <x v="10"/>
    <n v="6"/>
    <n v="129.99"/>
    <n v="0"/>
    <s v="EFT"/>
    <n v="779.94"/>
    <n v="0"/>
    <n v="779.94"/>
  </r>
  <r>
    <s v="ORD00191"/>
    <x v="81"/>
    <x v="6"/>
    <s v="CUST0052"/>
    <x v="3"/>
    <s v="Stellenbosch"/>
    <s v="In-store"/>
    <x v="2"/>
    <x v="4"/>
    <n v="5"/>
    <n v="89.99"/>
    <n v="0"/>
    <s v="Cash"/>
    <n v="449.95"/>
    <n v="0"/>
    <n v="449.95"/>
  </r>
  <r>
    <s v="ORD00192"/>
    <x v="101"/>
    <x v="6"/>
    <s v="CUST0157"/>
    <x v="0"/>
    <s v="Pietermaritzburg"/>
    <s v="In-store"/>
    <x v="4"/>
    <x v="10"/>
    <n v="4"/>
    <n v="129.99"/>
    <n v="0.1"/>
    <s v="Card"/>
    <n v="519.96"/>
    <n v="52"/>
    <n v="467.96"/>
  </r>
  <r>
    <s v="ORD00193"/>
    <x v="29"/>
    <x v="0"/>
    <s v="CUST0033"/>
    <x v="4"/>
    <s v="East London"/>
    <s v="Online"/>
    <x v="2"/>
    <x v="12"/>
    <n v="4"/>
    <n v="109.99"/>
    <n v="0.1"/>
    <s v="Card"/>
    <n v="439.96"/>
    <n v="44"/>
    <n v="395.96"/>
  </r>
  <r>
    <s v="ORD00194"/>
    <x v="7"/>
    <x v="1"/>
    <s v="CUST0151"/>
    <x v="2"/>
    <s v="Tzaneen"/>
    <s v="In-store"/>
    <x v="4"/>
    <x v="7"/>
    <n v="2"/>
    <n v="299.99"/>
    <n v="0.1"/>
    <s v="Cash"/>
    <n v="599.98"/>
    <n v="60"/>
    <n v="539.98"/>
  </r>
  <r>
    <s v="ORD00195"/>
    <x v="120"/>
    <x v="11"/>
    <s v="CUST0043"/>
    <x v="1"/>
    <s v="Johannesburg"/>
    <s v="In-store"/>
    <x v="4"/>
    <x v="14"/>
    <n v="5"/>
    <n v="99.99"/>
    <n v="0"/>
    <s v="EFT"/>
    <n v="499.95"/>
    <n v="0"/>
    <n v="499.95"/>
  </r>
  <r>
    <s v="ORD00196"/>
    <x v="152"/>
    <x v="9"/>
    <s v="CUST0163"/>
    <x v="2"/>
    <s v="Tzaneen"/>
    <s v="Online"/>
    <x v="1"/>
    <x v="13"/>
    <n v="1"/>
    <n v="139.99"/>
    <n v="0"/>
    <s v="Cash"/>
    <n v="139.99"/>
    <n v="0"/>
    <n v="139.99"/>
  </r>
  <r>
    <s v="ORD00197"/>
    <x v="153"/>
    <x v="6"/>
    <s v="CUST0044"/>
    <x v="2"/>
    <s v="Polokwane"/>
    <s v="Online"/>
    <x v="2"/>
    <x v="18"/>
    <n v="5"/>
    <n v="179.99"/>
    <n v="0.1"/>
    <s v="Card"/>
    <n v="899.95"/>
    <n v="90"/>
    <n v="809.95"/>
  </r>
  <r>
    <s v="ORD00198"/>
    <x v="122"/>
    <x v="1"/>
    <s v="CUST0054"/>
    <x v="1"/>
    <s v="Soweto"/>
    <s v="Online"/>
    <x v="0"/>
    <x v="0"/>
    <n v="5"/>
    <n v="89.99"/>
    <n v="0"/>
    <s v="Card"/>
    <n v="449.95"/>
    <n v="0"/>
    <n v="449.95"/>
  </r>
  <r>
    <s v="ORD00199"/>
    <x v="63"/>
    <x v="5"/>
    <s v="CUST0063"/>
    <x v="2"/>
    <s v="Tzaneen"/>
    <s v="Online"/>
    <x v="4"/>
    <x v="14"/>
    <n v="6"/>
    <n v="99.99"/>
    <n v="0"/>
    <s v="EFT"/>
    <n v="599.94000000000005"/>
    <n v="0"/>
    <n v="599.94000000000005"/>
  </r>
  <r>
    <s v="ORD00200"/>
    <x v="63"/>
    <x v="5"/>
    <s v="CUST0119"/>
    <x v="1"/>
    <s v="Johannesburg"/>
    <s v="In-store"/>
    <x v="4"/>
    <x v="10"/>
    <n v="4"/>
    <n v="129.99"/>
    <n v="0.05"/>
    <s v="EFT"/>
    <n v="519.96"/>
    <n v="26"/>
    <n v="493.96"/>
  </r>
  <r>
    <s v="ORD00201"/>
    <x v="154"/>
    <x v="7"/>
    <s v="CUST0034"/>
    <x v="0"/>
    <s v="Pietermaritzburg"/>
    <s v="Online"/>
    <x v="3"/>
    <x v="5"/>
    <n v="6"/>
    <n v="199.99"/>
    <n v="0"/>
    <s v="Card"/>
    <n v="1199.94"/>
    <n v="0"/>
    <n v="1199.94"/>
  </r>
  <r>
    <s v="ORD00202"/>
    <x v="9"/>
    <x v="4"/>
    <s v="CUST0037"/>
    <x v="4"/>
    <s v="Gqeberha"/>
    <s v="In-store"/>
    <x v="2"/>
    <x v="4"/>
    <n v="3"/>
    <n v="89.99"/>
    <n v="0.05"/>
    <s v="Card"/>
    <n v="269.97000000000003"/>
    <n v="13.5"/>
    <n v="256.47000000000003"/>
  </r>
  <r>
    <s v="ORD00203"/>
    <x v="155"/>
    <x v="11"/>
    <s v="CUST0240"/>
    <x v="2"/>
    <s v="Tzaneen"/>
    <s v="Online"/>
    <x v="2"/>
    <x v="12"/>
    <n v="2"/>
    <n v="109.99"/>
    <n v="0"/>
    <s v="Cash"/>
    <n v="219.98"/>
    <n v="0"/>
    <n v="219.98"/>
  </r>
  <r>
    <s v="ORD00204"/>
    <x v="156"/>
    <x v="5"/>
    <s v="CUST0006"/>
    <x v="2"/>
    <s v="Tzaneen"/>
    <s v="In-store"/>
    <x v="1"/>
    <x v="1"/>
    <n v="4"/>
    <n v="79.989999999999995"/>
    <n v="0"/>
    <s v="Mobile Payment"/>
    <n v="319.95999999999998"/>
    <n v="0"/>
    <n v="319.95999999999998"/>
  </r>
  <r>
    <s v="ORD00205"/>
    <x v="157"/>
    <x v="10"/>
    <s v="CUST0013"/>
    <x v="3"/>
    <s v="Cape Town"/>
    <s v="Online"/>
    <x v="3"/>
    <x v="8"/>
    <n v="5"/>
    <n v="249.99"/>
    <n v="0"/>
    <s v="Mobile Payment"/>
    <n v="1249.95"/>
    <n v="0"/>
    <n v="1249.95"/>
  </r>
  <r>
    <s v="ORD00206"/>
    <x v="158"/>
    <x v="6"/>
    <s v="CUST0226"/>
    <x v="0"/>
    <s v="Durban"/>
    <s v="Online"/>
    <x v="3"/>
    <x v="8"/>
    <n v="1"/>
    <n v="249.99"/>
    <n v="0.05"/>
    <s v="EFT"/>
    <n v="249.99"/>
    <n v="12.5"/>
    <n v="237.49"/>
  </r>
  <r>
    <s v="ORD00207"/>
    <x v="149"/>
    <x v="3"/>
    <s v="CUST0050"/>
    <x v="1"/>
    <s v="Pretoria"/>
    <s v="Online"/>
    <x v="4"/>
    <x v="7"/>
    <n v="1"/>
    <n v="299.99"/>
    <n v="0.1"/>
    <s v="EFT"/>
    <n v="299.99"/>
    <n v="30"/>
    <n v="269.99"/>
  </r>
  <r>
    <s v="ORD00208"/>
    <x v="159"/>
    <x v="1"/>
    <s v="CUST0175"/>
    <x v="2"/>
    <s v="Tzaneen"/>
    <s v="In-store"/>
    <x v="0"/>
    <x v="3"/>
    <n v="5"/>
    <n v="119.99"/>
    <n v="0"/>
    <s v="Cash"/>
    <n v="599.95000000000005"/>
    <n v="0"/>
    <n v="599.95000000000005"/>
  </r>
  <r>
    <s v="ORD00209"/>
    <x v="108"/>
    <x v="6"/>
    <s v="CUST0051"/>
    <x v="0"/>
    <s v="Pietermaritzburg"/>
    <s v="Online"/>
    <x v="0"/>
    <x v="3"/>
    <n v="5"/>
    <n v="119.99"/>
    <n v="0"/>
    <s v="Card"/>
    <n v="599.95000000000005"/>
    <n v="0"/>
    <n v="599.95000000000005"/>
  </r>
  <r>
    <s v="ORD00210"/>
    <x v="160"/>
    <x v="8"/>
    <s v="CUST0039"/>
    <x v="3"/>
    <s v="Stellenbosch"/>
    <s v="In-store"/>
    <x v="0"/>
    <x v="0"/>
    <n v="4"/>
    <n v="89.99"/>
    <n v="0.1"/>
    <s v="EFT"/>
    <n v="359.96"/>
    <n v="36"/>
    <n v="323.95999999999998"/>
  </r>
  <r>
    <s v="ORD00211"/>
    <x v="161"/>
    <x v="11"/>
    <s v="CUST0152"/>
    <x v="3"/>
    <s v="Stellenbosch"/>
    <s v="Online"/>
    <x v="3"/>
    <x v="17"/>
    <n v="5"/>
    <n v="49.99"/>
    <n v="0.15"/>
    <s v="Mobile Payment"/>
    <n v="249.95"/>
    <n v="37.49"/>
    <n v="212.46"/>
  </r>
  <r>
    <s v="ORD00212"/>
    <x v="46"/>
    <x v="2"/>
    <s v="CUST0029"/>
    <x v="4"/>
    <s v="Gqeberha"/>
    <s v="Online"/>
    <x v="3"/>
    <x v="17"/>
    <n v="3"/>
    <n v="49.99"/>
    <n v="0"/>
    <s v="EFT"/>
    <n v="149.97"/>
    <n v="0"/>
    <n v="149.97"/>
  </r>
  <r>
    <s v="ORD00213"/>
    <x v="162"/>
    <x v="3"/>
    <s v="CUST0123"/>
    <x v="0"/>
    <s v="Durban"/>
    <s v="In-store"/>
    <x v="0"/>
    <x v="3"/>
    <n v="6"/>
    <n v="119.99"/>
    <n v="0"/>
    <s v="Mobile Payment"/>
    <n v="719.94"/>
    <n v="0"/>
    <n v="719.94"/>
  </r>
  <r>
    <s v="ORD00214"/>
    <x v="41"/>
    <x v="9"/>
    <s v="CUST0005"/>
    <x v="1"/>
    <s v="Soweto"/>
    <s v="Online"/>
    <x v="1"/>
    <x v="2"/>
    <n v="6"/>
    <n v="104.99"/>
    <n v="0"/>
    <s v="EFT"/>
    <n v="629.94000000000005"/>
    <n v="0"/>
    <n v="629.94000000000005"/>
  </r>
  <r>
    <s v="ORD00215"/>
    <x v="163"/>
    <x v="1"/>
    <s v="CUST0236"/>
    <x v="4"/>
    <s v="Gqeberha"/>
    <s v="Online"/>
    <x v="4"/>
    <x v="10"/>
    <n v="4"/>
    <n v="129.99"/>
    <n v="0.1"/>
    <s v="Card"/>
    <n v="519.96"/>
    <n v="52"/>
    <n v="467.96"/>
  </r>
  <r>
    <s v="ORD00216"/>
    <x v="164"/>
    <x v="5"/>
    <s v="CUST0097"/>
    <x v="2"/>
    <s v="Tzaneen"/>
    <s v="Online"/>
    <x v="1"/>
    <x v="2"/>
    <n v="6"/>
    <n v="104.99"/>
    <n v="0.05"/>
    <s v="Cash"/>
    <n v="629.94000000000005"/>
    <n v="31.5"/>
    <n v="598.44000000000005"/>
  </r>
  <r>
    <s v="ORD00217"/>
    <x v="165"/>
    <x v="2"/>
    <s v="CUST0165"/>
    <x v="0"/>
    <s v="Pietermaritzburg"/>
    <s v="Online"/>
    <x v="4"/>
    <x v="14"/>
    <n v="6"/>
    <n v="99.99"/>
    <n v="0.15"/>
    <s v="Mobile Payment"/>
    <n v="599.94000000000005"/>
    <n v="89.99"/>
    <n v="509.95"/>
  </r>
  <r>
    <s v="ORD00218"/>
    <x v="105"/>
    <x v="4"/>
    <s v="CUST0181"/>
    <x v="0"/>
    <s v="Pietermaritzburg"/>
    <s v="In-store"/>
    <x v="1"/>
    <x v="2"/>
    <n v="2"/>
    <n v="104.99"/>
    <n v="0"/>
    <s v="Mobile Payment"/>
    <n v="209.98"/>
    <n v="0"/>
    <n v="209.98"/>
  </r>
  <r>
    <s v="ORD00219"/>
    <x v="166"/>
    <x v="3"/>
    <s v="CUST0174"/>
    <x v="0"/>
    <s v="Pietermaritzburg"/>
    <s v="Online"/>
    <x v="2"/>
    <x v="12"/>
    <n v="3"/>
    <n v="109.99"/>
    <n v="0"/>
    <s v="Mobile Payment"/>
    <n v="329.97"/>
    <n v="0"/>
    <n v="329.97"/>
  </r>
  <r>
    <s v="ORD00220"/>
    <x v="89"/>
    <x v="0"/>
    <s v="CUST0089"/>
    <x v="0"/>
    <s v="Durban"/>
    <s v="Online"/>
    <x v="2"/>
    <x v="4"/>
    <n v="3"/>
    <n v="89.99"/>
    <n v="0.15"/>
    <s v="EFT"/>
    <n v="269.97000000000003"/>
    <n v="40.5"/>
    <n v="229.47"/>
  </r>
  <r>
    <s v="ORD00221"/>
    <x v="167"/>
    <x v="4"/>
    <s v="CUST0036"/>
    <x v="3"/>
    <s v="Stellenbosch"/>
    <s v="In-store"/>
    <x v="4"/>
    <x v="10"/>
    <n v="5"/>
    <n v="129.99"/>
    <n v="0.15"/>
    <s v="Cash"/>
    <n v="649.95000000000005"/>
    <n v="97.49"/>
    <n v="552.46"/>
  </r>
  <r>
    <s v="ORD00222"/>
    <x v="168"/>
    <x v="10"/>
    <s v="CUST0026"/>
    <x v="2"/>
    <s v="Polokwane"/>
    <s v="Online"/>
    <x v="1"/>
    <x v="16"/>
    <n v="6"/>
    <n v="99.99"/>
    <n v="0"/>
    <s v="EFT"/>
    <n v="599.94000000000005"/>
    <n v="0"/>
    <n v="599.94000000000005"/>
  </r>
  <r>
    <s v="ORD00223"/>
    <x v="169"/>
    <x v="7"/>
    <s v="CUST0168"/>
    <x v="3"/>
    <s v="Cape Town"/>
    <s v="Online"/>
    <x v="4"/>
    <x v="10"/>
    <n v="5"/>
    <n v="129.99"/>
    <n v="0"/>
    <s v="Mobile Payment"/>
    <n v="649.95000000000005"/>
    <n v="0"/>
    <n v="649.95000000000005"/>
  </r>
  <r>
    <s v="ORD00224"/>
    <x v="170"/>
    <x v="0"/>
    <s v="CUST0167"/>
    <x v="0"/>
    <s v="Pietermaritzburg"/>
    <s v="In-store"/>
    <x v="1"/>
    <x v="13"/>
    <n v="6"/>
    <n v="139.99"/>
    <n v="0"/>
    <s v="Card"/>
    <n v="839.94"/>
    <n v="0"/>
    <n v="839.94"/>
  </r>
  <r>
    <s v="ORD00225"/>
    <x v="171"/>
    <x v="9"/>
    <s v="CUST0240"/>
    <x v="3"/>
    <s v="Cape Town"/>
    <s v="Online"/>
    <x v="1"/>
    <x v="1"/>
    <n v="4"/>
    <n v="79.989999999999995"/>
    <n v="0.05"/>
    <s v="Card"/>
    <n v="319.95999999999998"/>
    <n v="16"/>
    <n v="303.95999999999998"/>
  </r>
  <r>
    <s v="ORD00226"/>
    <x v="172"/>
    <x v="8"/>
    <s v="CUST0165"/>
    <x v="2"/>
    <s v="Polokwane"/>
    <s v="Online"/>
    <x v="0"/>
    <x v="9"/>
    <n v="3"/>
    <n v="149.99"/>
    <n v="0"/>
    <s v="Cash"/>
    <n v="449.97"/>
    <n v="0"/>
    <n v="449.97"/>
  </r>
  <r>
    <s v="ORD00227"/>
    <x v="173"/>
    <x v="6"/>
    <s v="CUST0188"/>
    <x v="0"/>
    <s v="Durban"/>
    <s v="Online"/>
    <x v="3"/>
    <x v="8"/>
    <n v="1"/>
    <n v="249.99"/>
    <n v="0"/>
    <s v="EFT"/>
    <n v="249.99"/>
    <n v="0"/>
    <n v="249.99"/>
  </r>
  <r>
    <s v="ORD00228"/>
    <x v="174"/>
    <x v="9"/>
    <s v="CUST0045"/>
    <x v="0"/>
    <s v="Pietermaritzburg"/>
    <s v="Online"/>
    <x v="1"/>
    <x v="16"/>
    <n v="5"/>
    <n v="99.99"/>
    <n v="0.15"/>
    <s v="Mobile Payment"/>
    <n v="499.95"/>
    <n v="74.989999999999995"/>
    <n v="424.96"/>
  </r>
  <r>
    <s v="ORD00229"/>
    <x v="70"/>
    <x v="9"/>
    <s v="CUST0036"/>
    <x v="1"/>
    <s v="Pretoria"/>
    <s v="Online"/>
    <x v="3"/>
    <x v="17"/>
    <n v="6"/>
    <n v="49.99"/>
    <n v="0"/>
    <s v="EFT"/>
    <n v="299.94"/>
    <n v="0"/>
    <n v="299.94"/>
  </r>
  <r>
    <s v="ORD00230"/>
    <x v="6"/>
    <x v="4"/>
    <s v="CUST0245"/>
    <x v="0"/>
    <s v="Pietermaritzburg"/>
    <s v="Online"/>
    <x v="1"/>
    <x v="16"/>
    <n v="2"/>
    <n v="99.99"/>
    <n v="0.05"/>
    <s v="EFT"/>
    <n v="199.98"/>
    <n v="10"/>
    <n v="189.98"/>
  </r>
  <r>
    <s v="ORD00231"/>
    <x v="175"/>
    <x v="0"/>
    <s v="CUST0171"/>
    <x v="0"/>
    <s v="Pietermaritzburg"/>
    <s v="In-store"/>
    <x v="3"/>
    <x v="11"/>
    <n v="6"/>
    <n v="399.99"/>
    <n v="0"/>
    <s v="Mobile Payment"/>
    <n v="2399.94"/>
    <n v="0"/>
    <n v="2399.94"/>
  </r>
  <r>
    <s v="ORD00232"/>
    <x v="7"/>
    <x v="1"/>
    <s v="CUST0235"/>
    <x v="4"/>
    <s v="East London"/>
    <s v="Online"/>
    <x v="2"/>
    <x v="4"/>
    <n v="6"/>
    <n v="89.99"/>
    <n v="0"/>
    <s v="EFT"/>
    <n v="539.94000000000005"/>
    <n v="0"/>
    <n v="539.94000000000005"/>
  </r>
  <r>
    <s v="ORD00233"/>
    <x v="172"/>
    <x v="8"/>
    <s v="CUST0192"/>
    <x v="3"/>
    <s v="Cape Town"/>
    <s v="Online"/>
    <x v="3"/>
    <x v="5"/>
    <n v="4"/>
    <n v="199.99"/>
    <n v="0"/>
    <s v="Mobile Payment"/>
    <n v="799.96"/>
    <n v="0"/>
    <n v="799.96"/>
  </r>
  <r>
    <s v="ORD00234"/>
    <x v="11"/>
    <x v="1"/>
    <s v="CUST0224"/>
    <x v="2"/>
    <s v="Polokwane"/>
    <s v="In-store"/>
    <x v="3"/>
    <x v="8"/>
    <n v="2"/>
    <n v="249.99"/>
    <n v="0.15"/>
    <s v="Mobile Payment"/>
    <n v="499.98"/>
    <n v="75"/>
    <n v="424.98"/>
  </r>
  <r>
    <s v="ORD00235"/>
    <x v="176"/>
    <x v="3"/>
    <s v="CUST0232"/>
    <x v="1"/>
    <s v="Soweto"/>
    <s v="In-store"/>
    <x v="3"/>
    <x v="17"/>
    <n v="1"/>
    <n v="49.99"/>
    <n v="0"/>
    <s v="Cash"/>
    <n v="49.99"/>
    <n v="0"/>
    <n v="49.99"/>
  </r>
  <r>
    <s v="ORD00236"/>
    <x v="177"/>
    <x v="9"/>
    <s v="CUST0184"/>
    <x v="2"/>
    <s v="Tzaneen"/>
    <s v="Online"/>
    <x v="1"/>
    <x v="13"/>
    <n v="1"/>
    <n v="139.99"/>
    <n v="0.15"/>
    <s v="Card"/>
    <n v="139.99"/>
    <n v="21"/>
    <n v="118.99"/>
  </r>
  <r>
    <s v="ORD00237"/>
    <x v="84"/>
    <x v="8"/>
    <s v="CUST0117"/>
    <x v="1"/>
    <s v="Pretoria"/>
    <s v="In-store"/>
    <x v="3"/>
    <x v="8"/>
    <n v="2"/>
    <n v="249.99"/>
    <n v="0.1"/>
    <s v="Mobile Payment"/>
    <n v="499.98"/>
    <n v="50"/>
    <n v="449.98"/>
  </r>
  <r>
    <s v="ORD00238"/>
    <x v="178"/>
    <x v="9"/>
    <s v="CUST0149"/>
    <x v="4"/>
    <s v="East London"/>
    <s v="In-store"/>
    <x v="2"/>
    <x v="18"/>
    <n v="1"/>
    <n v="179.99"/>
    <n v="0.15"/>
    <s v="Card"/>
    <n v="179.99"/>
    <n v="27"/>
    <n v="152.99"/>
  </r>
  <r>
    <s v="ORD00239"/>
    <x v="83"/>
    <x v="8"/>
    <s v="CUST0009"/>
    <x v="1"/>
    <s v="Soweto"/>
    <s v="Online"/>
    <x v="4"/>
    <x v="7"/>
    <n v="1"/>
    <n v="299.99"/>
    <n v="0"/>
    <s v="Mobile Payment"/>
    <n v="299.99"/>
    <n v="0"/>
    <n v="299.99"/>
  </r>
  <r>
    <s v="ORD00240"/>
    <x v="179"/>
    <x v="7"/>
    <s v="CUST0097"/>
    <x v="4"/>
    <s v="East London"/>
    <s v="In-store"/>
    <x v="1"/>
    <x v="2"/>
    <n v="4"/>
    <n v="104.99"/>
    <n v="0.05"/>
    <s v="Cash"/>
    <n v="419.96"/>
    <n v="21"/>
    <n v="398.96"/>
  </r>
  <r>
    <s v="ORD00241"/>
    <x v="180"/>
    <x v="9"/>
    <s v="CUST0214"/>
    <x v="3"/>
    <s v="Stellenbosch"/>
    <s v="In-store"/>
    <x v="2"/>
    <x v="18"/>
    <n v="5"/>
    <n v="179.99"/>
    <n v="0"/>
    <s v="Card"/>
    <n v="899.95"/>
    <n v="0"/>
    <n v="899.95"/>
  </r>
  <r>
    <s v="ORD00242"/>
    <x v="181"/>
    <x v="9"/>
    <s v="CUST0064"/>
    <x v="2"/>
    <s v="Tzaneen"/>
    <s v="Online"/>
    <x v="2"/>
    <x v="12"/>
    <n v="5"/>
    <n v="109.99"/>
    <n v="0.05"/>
    <s v="EFT"/>
    <n v="549.95000000000005"/>
    <n v="27.5"/>
    <n v="522.45000000000005"/>
  </r>
  <r>
    <s v="ORD00243"/>
    <x v="137"/>
    <x v="8"/>
    <s v="CUST0158"/>
    <x v="3"/>
    <s v="Cape Town"/>
    <s v="In-store"/>
    <x v="1"/>
    <x v="13"/>
    <n v="1"/>
    <n v="139.99"/>
    <n v="0.15"/>
    <s v="Cash"/>
    <n v="139.99"/>
    <n v="21"/>
    <n v="118.99"/>
  </r>
  <r>
    <s v="ORD00244"/>
    <x v="182"/>
    <x v="1"/>
    <s v="CUST0173"/>
    <x v="1"/>
    <s v="Soweto"/>
    <s v="In-store"/>
    <x v="1"/>
    <x v="16"/>
    <n v="1"/>
    <n v="99.99"/>
    <n v="0.05"/>
    <s v="Cash"/>
    <n v="99.99"/>
    <n v="5"/>
    <n v="94.99"/>
  </r>
  <r>
    <s v="ORD00245"/>
    <x v="183"/>
    <x v="10"/>
    <s v="CUST0036"/>
    <x v="4"/>
    <s v="Gqeberha"/>
    <s v="Online"/>
    <x v="0"/>
    <x v="3"/>
    <n v="5"/>
    <n v="119.99"/>
    <n v="0"/>
    <s v="Cash"/>
    <n v="599.95000000000005"/>
    <n v="0"/>
    <n v="599.95000000000005"/>
  </r>
  <r>
    <s v="ORD00246"/>
    <x v="108"/>
    <x v="6"/>
    <s v="CUST0170"/>
    <x v="2"/>
    <s v="Tzaneen"/>
    <s v="In-store"/>
    <x v="3"/>
    <x v="17"/>
    <n v="2"/>
    <n v="49.99"/>
    <n v="0"/>
    <s v="Mobile Payment"/>
    <n v="99.98"/>
    <n v="0"/>
    <n v="99.98"/>
  </r>
  <r>
    <s v="ORD00247"/>
    <x v="184"/>
    <x v="6"/>
    <s v="CUST0161"/>
    <x v="1"/>
    <s v="Soweto"/>
    <s v="Online"/>
    <x v="2"/>
    <x v="15"/>
    <n v="5"/>
    <n v="119.99"/>
    <n v="0.15"/>
    <s v="Mobile Payment"/>
    <n v="599.95000000000005"/>
    <n v="89.99"/>
    <n v="509.96"/>
  </r>
  <r>
    <s v="ORD00248"/>
    <x v="77"/>
    <x v="7"/>
    <s v="CUST0039"/>
    <x v="4"/>
    <s v="East London"/>
    <s v="Online"/>
    <x v="0"/>
    <x v="9"/>
    <n v="6"/>
    <n v="149.99"/>
    <n v="0.05"/>
    <s v="Mobile Payment"/>
    <n v="899.94"/>
    <n v="45"/>
    <n v="854.94"/>
  </r>
  <r>
    <s v="ORD00249"/>
    <x v="108"/>
    <x v="6"/>
    <s v="CUST0207"/>
    <x v="3"/>
    <s v="Cape Town"/>
    <s v="Online"/>
    <x v="1"/>
    <x v="1"/>
    <n v="3"/>
    <n v="79.989999999999995"/>
    <n v="0.15"/>
    <s v="Card"/>
    <n v="239.97"/>
    <n v="36"/>
    <n v="203.97"/>
  </r>
  <r>
    <s v="ORD00250"/>
    <x v="90"/>
    <x v="4"/>
    <s v="CUST0053"/>
    <x v="4"/>
    <s v="Gqeberha"/>
    <s v="Online"/>
    <x v="3"/>
    <x v="8"/>
    <n v="4"/>
    <n v="249.99"/>
    <n v="0"/>
    <s v="Card"/>
    <n v="999.96"/>
    <n v="0"/>
    <n v="999.96"/>
  </r>
  <r>
    <s v="ORD00251"/>
    <x v="168"/>
    <x v="10"/>
    <s v="CUST0069"/>
    <x v="1"/>
    <s v="Soweto"/>
    <s v="Online"/>
    <x v="4"/>
    <x v="7"/>
    <n v="6"/>
    <n v="299.99"/>
    <n v="0"/>
    <s v="Card"/>
    <n v="1799.94"/>
    <n v="0"/>
    <n v="1799.94"/>
  </r>
  <r>
    <s v="ORD00252"/>
    <x v="185"/>
    <x v="11"/>
    <s v="CUST0078"/>
    <x v="2"/>
    <s v="Polokwane"/>
    <s v="In-store"/>
    <x v="0"/>
    <x v="6"/>
    <n v="4"/>
    <n v="129.99"/>
    <n v="0"/>
    <s v="Cash"/>
    <n v="519.96"/>
    <n v="0"/>
    <n v="519.96"/>
  </r>
  <r>
    <s v="ORD00253"/>
    <x v="186"/>
    <x v="2"/>
    <s v="CUST0053"/>
    <x v="4"/>
    <s v="Gqeberha"/>
    <s v="Online"/>
    <x v="1"/>
    <x v="16"/>
    <n v="6"/>
    <n v="99.99"/>
    <n v="0.1"/>
    <s v="Cash"/>
    <n v="599.94000000000005"/>
    <n v="59.99"/>
    <n v="539.95000000000005"/>
  </r>
  <r>
    <s v="ORD00254"/>
    <x v="187"/>
    <x v="1"/>
    <s v="CUST0092"/>
    <x v="0"/>
    <s v="Pietermaritzburg"/>
    <s v="Online"/>
    <x v="3"/>
    <x v="17"/>
    <n v="4"/>
    <n v="49.99"/>
    <n v="0.1"/>
    <s v="EFT"/>
    <n v="199.96"/>
    <n v="20"/>
    <n v="179.96"/>
  </r>
  <r>
    <s v="ORD00255"/>
    <x v="51"/>
    <x v="11"/>
    <s v="CUST0235"/>
    <x v="4"/>
    <s v="Gqeberha"/>
    <s v="In-store"/>
    <x v="2"/>
    <x v="12"/>
    <n v="6"/>
    <n v="109.99"/>
    <n v="0.05"/>
    <s v="EFT"/>
    <n v="659.94"/>
    <n v="33"/>
    <n v="626.94000000000005"/>
  </r>
  <r>
    <s v="ORD00256"/>
    <x v="188"/>
    <x v="6"/>
    <s v="CUST0005"/>
    <x v="1"/>
    <s v="Soweto"/>
    <s v="Online"/>
    <x v="2"/>
    <x v="12"/>
    <n v="2"/>
    <n v="109.99"/>
    <n v="0.15"/>
    <s v="Mobile Payment"/>
    <n v="219.98"/>
    <n v="33"/>
    <n v="186.98"/>
  </r>
  <r>
    <s v="ORD00257"/>
    <x v="75"/>
    <x v="3"/>
    <s v="CUST0214"/>
    <x v="3"/>
    <s v="Stellenbosch"/>
    <s v="In-store"/>
    <x v="2"/>
    <x v="4"/>
    <n v="2"/>
    <n v="89.99"/>
    <n v="0.05"/>
    <s v="Mobile Payment"/>
    <n v="179.98"/>
    <n v="9"/>
    <n v="170.98"/>
  </r>
  <r>
    <s v="ORD00258"/>
    <x v="189"/>
    <x v="5"/>
    <s v="CUST0118"/>
    <x v="0"/>
    <s v="Pietermaritzburg"/>
    <s v="In-store"/>
    <x v="3"/>
    <x v="17"/>
    <n v="6"/>
    <n v="49.99"/>
    <n v="0.15"/>
    <s v="EFT"/>
    <n v="299.94"/>
    <n v="44.99"/>
    <n v="254.95"/>
  </r>
  <r>
    <s v="ORD00259"/>
    <x v="39"/>
    <x v="1"/>
    <s v="CUST0246"/>
    <x v="2"/>
    <s v="Tzaneen"/>
    <s v="In-store"/>
    <x v="1"/>
    <x v="2"/>
    <n v="2"/>
    <n v="104.99"/>
    <n v="0.1"/>
    <s v="Card"/>
    <n v="209.98"/>
    <n v="21"/>
    <n v="188.98"/>
  </r>
  <r>
    <s v="ORD00260"/>
    <x v="73"/>
    <x v="9"/>
    <s v="CUST0018"/>
    <x v="1"/>
    <s v="Pretoria"/>
    <s v="In-store"/>
    <x v="0"/>
    <x v="0"/>
    <n v="2"/>
    <n v="89.99"/>
    <n v="0.15"/>
    <s v="Card"/>
    <n v="179.98"/>
    <n v="27"/>
    <n v="152.97999999999999"/>
  </r>
  <r>
    <s v="ORD00261"/>
    <x v="151"/>
    <x v="2"/>
    <s v="CUST0240"/>
    <x v="0"/>
    <s v="Durban"/>
    <s v="Online"/>
    <x v="1"/>
    <x v="1"/>
    <n v="5"/>
    <n v="79.989999999999995"/>
    <n v="0.15"/>
    <s v="Mobile Payment"/>
    <n v="399.95"/>
    <n v="59.99"/>
    <n v="339.96"/>
  </r>
  <r>
    <s v="ORD00262"/>
    <x v="65"/>
    <x v="5"/>
    <s v="CUST0185"/>
    <x v="2"/>
    <s v="Tzaneen"/>
    <s v="Online"/>
    <x v="0"/>
    <x v="0"/>
    <n v="1"/>
    <n v="89.99"/>
    <n v="0"/>
    <s v="EFT"/>
    <n v="89.99"/>
    <n v="0"/>
    <n v="89.99"/>
  </r>
  <r>
    <s v="ORD00263"/>
    <x v="190"/>
    <x v="6"/>
    <s v="CUST0062"/>
    <x v="3"/>
    <s v="Cape Town"/>
    <s v="In-store"/>
    <x v="0"/>
    <x v="3"/>
    <n v="1"/>
    <n v="119.99"/>
    <n v="0.1"/>
    <s v="EFT"/>
    <n v="119.99"/>
    <n v="12"/>
    <n v="107.99"/>
  </r>
  <r>
    <s v="ORD00264"/>
    <x v="115"/>
    <x v="8"/>
    <s v="CUST0145"/>
    <x v="4"/>
    <s v="Gqeberha"/>
    <s v="In-store"/>
    <x v="2"/>
    <x v="15"/>
    <n v="3"/>
    <n v="119.99"/>
    <n v="0.05"/>
    <s v="Cash"/>
    <n v="359.97"/>
    <n v="18"/>
    <n v="341.97"/>
  </r>
  <r>
    <s v="ORD00265"/>
    <x v="179"/>
    <x v="7"/>
    <s v="CUST0142"/>
    <x v="1"/>
    <s v="Johannesburg"/>
    <s v="Online"/>
    <x v="2"/>
    <x v="18"/>
    <n v="4"/>
    <n v="179.99"/>
    <n v="0.05"/>
    <s v="Card"/>
    <n v="719.96"/>
    <n v="36"/>
    <n v="683.96"/>
  </r>
  <r>
    <s v="ORD00266"/>
    <x v="42"/>
    <x v="11"/>
    <s v="CUST0145"/>
    <x v="1"/>
    <s v="Pretoria"/>
    <s v="In-store"/>
    <x v="0"/>
    <x v="6"/>
    <n v="4"/>
    <n v="129.99"/>
    <n v="0.15"/>
    <s v="Card"/>
    <n v="519.96"/>
    <n v="77.989999999999995"/>
    <n v="441.97"/>
  </r>
  <r>
    <s v="ORD00267"/>
    <x v="191"/>
    <x v="0"/>
    <s v="CUST0176"/>
    <x v="2"/>
    <s v="Tzaneen"/>
    <s v="Online"/>
    <x v="1"/>
    <x v="2"/>
    <n v="3"/>
    <n v="104.99"/>
    <n v="0"/>
    <s v="Card"/>
    <n v="314.97000000000003"/>
    <n v="0"/>
    <n v="314.97000000000003"/>
  </r>
  <r>
    <s v="ORD00268"/>
    <x v="192"/>
    <x v="2"/>
    <s v="CUST0211"/>
    <x v="1"/>
    <s v="Johannesburg"/>
    <s v="Online"/>
    <x v="1"/>
    <x v="13"/>
    <n v="5"/>
    <n v="139.99"/>
    <n v="0"/>
    <s v="Card"/>
    <n v="699.95"/>
    <n v="0"/>
    <n v="699.95"/>
  </r>
  <r>
    <s v="ORD00269"/>
    <x v="193"/>
    <x v="2"/>
    <s v="CUST0230"/>
    <x v="2"/>
    <s v="Polokwane"/>
    <s v="Online"/>
    <x v="2"/>
    <x v="4"/>
    <n v="5"/>
    <n v="89.99"/>
    <n v="0.05"/>
    <s v="Mobile Payment"/>
    <n v="449.95"/>
    <n v="22.5"/>
    <n v="427.45"/>
  </r>
  <r>
    <s v="ORD00270"/>
    <x v="143"/>
    <x v="8"/>
    <s v="CUST0060"/>
    <x v="2"/>
    <s v="Tzaneen"/>
    <s v="In-store"/>
    <x v="1"/>
    <x v="16"/>
    <n v="1"/>
    <n v="99.99"/>
    <n v="0"/>
    <s v="EFT"/>
    <n v="99.99"/>
    <n v="0"/>
    <n v="99.99"/>
  </r>
  <r>
    <s v="ORD00271"/>
    <x v="147"/>
    <x v="8"/>
    <s v="CUST0126"/>
    <x v="0"/>
    <s v="Durban"/>
    <s v="In-store"/>
    <x v="3"/>
    <x v="8"/>
    <n v="6"/>
    <n v="249.99"/>
    <n v="0"/>
    <s v="EFT"/>
    <n v="1499.94"/>
    <n v="0"/>
    <n v="1499.94"/>
  </r>
  <r>
    <s v="ORD00272"/>
    <x v="194"/>
    <x v="2"/>
    <s v="CUST0098"/>
    <x v="4"/>
    <s v="Gqeberha"/>
    <s v="In-store"/>
    <x v="3"/>
    <x v="8"/>
    <n v="6"/>
    <n v="249.99"/>
    <n v="0.1"/>
    <s v="EFT"/>
    <n v="1499.94"/>
    <n v="149.99"/>
    <n v="1349.95"/>
  </r>
  <r>
    <s v="ORD00273"/>
    <x v="192"/>
    <x v="2"/>
    <s v="CUST0201"/>
    <x v="1"/>
    <s v="Pretoria"/>
    <s v="In-store"/>
    <x v="1"/>
    <x v="16"/>
    <n v="2"/>
    <n v="99.99"/>
    <n v="0.05"/>
    <s v="Mobile Payment"/>
    <n v="199.98"/>
    <n v="10"/>
    <n v="189.98"/>
  </r>
  <r>
    <s v="ORD00274"/>
    <x v="145"/>
    <x v="8"/>
    <s v="CUST0093"/>
    <x v="1"/>
    <s v="Johannesburg"/>
    <s v="Online"/>
    <x v="2"/>
    <x v="15"/>
    <n v="1"/>
    <n v="119.99"/>
    <n v="0"/>
    <s v="Card"/>
    <n v="119.99"/>
    <n v="0"/>
    <n v="119.99"/>
  </r>
  <r>
    <s v="ORD00275"/>
    <x v="25"/>
    <x v="3"/>
    <s v="CUST0132"/>
    <x v="3"/>
    <s v="Stellenbosch"/>
    <s v="Online"/>
    <x v="1"/>
    <x v="16"/>
    <n v="4"/>
    <n v="99.99"/>
    <n v="0.1"/>
    <s v="Card"/>
    <n v="399.96"/>
    <n v="40"/>
    <n v="359.96"/>
  </r>
  <r>
    <s v="ORD00276"/>
    <x v="195"/>
    <x v="11"/>
    <s v="CUST0222"/>
    <x v="0"/>
    <s v="Durban"/>
    <s v="Online"/>
    <x v="0"/>
    <x v="0"/>
    <n v="5"/>
    <n v="89.99"/>
    <n v="0.1"/>
    <s v="Card"/>
    <n v="449.95"/>
    <n v="45"/>
    <n v="404.95"/>
  </r>
  <r>
    <s v="ORD00277"/>
    <x v="196"/>
    <x v="4"/>
    <s v="CUST0147"/>
    <x v="4"/>
    <s v="Gqeberha"/>
    <s v="In-store"/>
    <x v="2"/>
    <x v="12"/>
    <n v="6"/>
    <n v="109.99"/>
    <n v="0.1"/>
    <s v="Mobile Payment"/>
    <n v="659.94"/>
    <n v="65.989999999999995"/>
    <n v="593.95000000000005"/>
  </r>
  <r>
    <s v="ORD00278"/>
    <x v="188"/>
    <x v="6"/>
    <s v="CUST0017"/>
    <x v="0"/>
    <s v="Pietermaritzburg"/>
    <s v="In-store"/>
    <x v="1"/>
    <x v="2"/>
    <n v="3"/>
    <n v="104.99"/>
    <n v="0.05"/>
    <s v="Mobile Payment"/>
    <n v="314.97000000000003"/>
    <n v="15.75"/>
    <n v="299.22000000000003"/>
  </r>
  <r>
    <s v="ORD00279"/>
    <x v="197"/>
    <x v="4"/>
    <s v="CUST0242"/>
    <x v="0"/>
    <s v="Pietermaritzburg"/>
    <s v="In-store"/>
    <x v="2"/>
    <x v="12"/>
    <n v="1"/>
    <n v="109.99"/>
    <n v="0"/>
    <s v="Mobile Payment"/>
    <n v="109.99"/>
    <n v="0"/>
    <n v="109.99"/>
  </r>
  <r>
    <s v="ORD00280"/>
    <x v="198"/>
    <x v="10"/>
    <s v="CUST0243"/>
    <x v="4"/>
    <s v="Gqeberha"/>
    <s v="Online"/>
    <x v="3"/>
    <x v="5"/>
    <n v="2"/>
    <n v="199.99"/>
    <n v="0"/>
    <s v="EFT"/>
    <n v="399.98"/>
    <n v="0"/>
    <n v="399.98"/>
  </r>
  <r>
    <s v="ORD00281"/>
    <x v="122"/>
    <x v="1"/>
    <s v="CUST0250"/>
    <x v="0"/>
    <s v="Pietermaritzburg"/>
    <s v="In-store"/>
    <x v="3"/>
    <x v="8"/>
    <n v="3"/>
    <n v="249.99"/>
    <n v="0.05"/>
    <s v="EFT"/>
    <n v="749.97"/>
    <n v="37.5"/>
    <n v="712.47"/>
  </r>
  <r>
    <s v="ORD00282"/>
    <x v="51"/>
    <x v="11"/>
    <s v="CUST0075"/>
    <x v="4"/>
    <s v="East London"/>
    <s v="Online"/>
    <x v="2"/>
    <x v="4"/>
    <n v="2"/>
    <n v="89.99"/>
    <n v="0.05"/>
    <s v="Cash"/>
    <n v="179.98"/>
    <n v="9"/>
    <n v="170.98"/>
  </r>
  <r>
    <s v="ORD00283"/>
    <x v="56"/>
    <x v="3"/>
    <s v="CUST0052"/>
    <x v="0"/>
    <s v="Pietermaritzburg"/>
    <s v="In-store"/>
    <x v="2"/>
    <x v="12"/>
    <n v="3"/>
    <n v="109.99"/>
    <n v="0"/>
    <s v="Card"/>
    <n v="329.97"/>
    <n v="0"/>
    <n v="329.97"/>
  </r>
  <r>
    <s v="ORD00284"/>
    <x v="30"/>
    <x v="0"/>
    <s v="CUST0210"/>
    <x v="3"/>
    <s v="Stellenbosch"/>
    <s v="Online"/>
    <x v="4"/>
    <x v="14"/>
    <n v="3"/>
    <n v="99.99"/>
    <n v="0.15"/>
    <s v="Mobile Payment"/>
    <n v="299.97000000000003"/>
    <n v="45"/>
    <n v="254.97"/>
  </r>
  <r>
    <s v="ORD00285"/>
    <x v="199"/>
    <x v="8"/>
    <s v="CUST0203"/>
    <x v="3"/>
    <s v="Stellenbosch"/>
    <s v="Online"/>
    <x v="1"/>
    <x v="13"/>
    <n v="6"/>
    <n v="139.99"/>
    <n v="0"/>
    <s v="Card"/>
    <n v="839.94"/>
    <n v="0"/>
    <n v="839.94"/>
  </r>
  <r>
    <s v="ORD00286"/>
    <x v="200"/>
    <x v="2"/>
    <s v="CUST0108"/>
    <x v="4"/>
    <s v="East London"/>
    <s v="In-store"/>
    <x v="4"/>
    <x v="14"/>
    <n v="5"/>
    <n v="99.99"/>
    <n v="0.1"/>
    <s v="EFT"/>
    <n v="499.95"/>
    <n v="50"/>
    <n v="449.95"/>
  </r>
  <r>
    <s v="ORD00287"/>
    <x v="20"/>
    <x v="7"/>
    <s v="CUST0043"/>
    <x v="1"/>
    <s v="Johannesburg"/>
    <s v="In-store"/>
    <x v="3"/>
    <x v="11"/>
    <n v="6"/>
    <n v="399.99"/>
    <n v="0.15"/>
    <s v="Mobile Payment"/>
    <n v="2399.94"/>
    <n v="359.99"/>
    <n v="2039.95"/>
  </r>
  <r>
    <s v="ORD00288"/>
    <x v="132"/>
    <x v="9"/>
    <s v="CUST0131"/>
    <x v="1"/>
    <s v="Johannesburg"/>
    <s v="In-store"/>
    <x v="2"/>
    <x v="12"/>
    <n v="1"/>
    <n v="109.99"/>
    <n v="0"/>
    <s v="Mobile Payment"/>
    <n v="109.99"/>
    <n v="0"/>
    <n v="109.99"/>
  </r>
  <r>
    <s v="ORD00289"/>
    <x v="63"/>
    <x v="5"/>
    <s v="CUST0027"/>
    <x v="4"/>
    <s v="Gqeberha"/>
    <s v="Online"/>
    <x v="2"/>
    <x v="12"/>
    <n v="3"/>
    <n v="109.99"/>
    <n v="0"/>
    <s v="Mobile Payment"/>
    <n v="329.97"/>
    <n v="0"/>
    <n v="329.97"/>
  </r>
  <r>
    <s v="ORD00290"/>
    <x v="160"/>
    <x v="8"/>
    <s v="CUST0201"/>
    <x v="3"/>
    <s v="Stellenbosch"/>
    <s v="In-store"/>
    <x v="0"/>
    <x v="0"/>
    <n v="3"/>
    <n v="89.99"/>
    <n v="0"/>
    <s v="Mobile Payment"/>
    <n v="269.97000000000003"/>
    <n v="0"/>
    <n v="269.97000000000003"/>
  </r>
  <r>
    <s v="ORD00291"/>
    <x v="201"/>
    <x v="8"/>
    <s v="CUST0082"/>
    <x v="1"/>
    <s v="Pretoria"/>
    <s v="In-store"/>
    <x v="2"/>
    <x v="12"/>
    <n v="6"/>
    <n v="109.99"/>
    <n v="0.15"/>
    <s v="EFT"/>
    <n v="659.94"/>
    <n v="98.99"/>
    <n v="560.95000000000005"/>
  </r>
  <r>
    <s v="ORD00292"/>
    <x v="193"/>
    <x v="2"/>
    <s v="CUST0205"/>
    <x v="1"/>
    <s v="Pretoria"/>
    <s v="In-store"/>
    <x v="0"/>
    <x v="0"/>
    <n v="6"/>
    <n v="89.99"/>
    <n v="0"/>
    <s v="Cash"/>
    <n v="539.94000000000005"/>
    <n v="0"/>
    <n v="539.94000000000005"/>
  </r>
  <r>
    <s v="ORD00293"/>
    <x v="202"/>
    <x v="8"/>
    <s v="CUST0246"/>
    <x v="2"/>
    <s v="Polokwane"/>
    <s v="Online"/>
    <x v="3"/>
    <x v="5"/>
    <n v="3"/>
    <n v="199.99"/>
    <n v="0.1"/>
    <s v="Cash"/>
    <n v="599.97"/>
    <n v="60"/>
    <n v="539.97"/>
  </r>
  <r>
    <s v="ORD00294"/>
    <x v="62"/>
    <x v="8"/>
    <s v="CUST0102"/>
    <x v="3"/>
    <s v="Cape Town"/>
    <s v="In-store"/>
    <x v="4"/>
    <x v="14"/>
    <n v="6"/>
    <n v="99.99"/>
    <n v="0.15"/>
    <s v="Cash"/>
    <n v="599.94000000000005"/>
    <n v="89.99"/>
    <n v="509.95"/>
  </r>
  <r>
    <s v="ORD00295"/>
    <x v="203"/>
    <x v="9"/>
    <s v="CUST0053"/>
    <x v="4"/>
    <s v="East London"/>
    <s v="Online"/>
    <x v="4"/>
    <x v="14"/>
    <n v="1"/>
    <n v="99.99"/>
    <n v="0.15"/>
    <s v="Card"/>
    <n v="99.99"/>
    <n v="15"/>
    <n v="84.99"/>
  </r>
  <r>
    <s v="ORD00296"/>
    <x v="152"/>
    <x v="9"/>
    <s v="CUST0118"/>
    <x v="2"/>
    <s v="Polokwane"/>
    <s v="In-store"/>
    <x v="3"/>
    <x v="11"/>
    <n v="3"/>
    <n v="399.99"/>
    <n v="0"/>
    <s v="EFT"/>
    <n v="1199.97"/>
    <n v="0"/>
    <n v="1199.97"/>
  </r>
  <r>
    <s v="ORD00297"/>
    <x v="204"/>
    <x v="3"/>
    <s v="CUST0030"/>
    <x v="0"/>
    <s v="Pietermaritzburg"/>
    <s v="Online"/>
    <x v="4"/>
    <x v="14"/>
    <n v="5"/>
    <n v="99.99"/>
    <n v="0.05"/>
    <s v="EFT"/>
    <n v="499.95"/>
    <n v="25"/>
    <n v="474.95"/>
  </r>
  <r>
    <s v="ORD00298"/>
    <x v="14"/>
    <x v="0"/>
    <s v="CUST0173"/>
    <x v="3"/>
    <s v="Stellenbosch"/>
    <s v="In-store"/>
    <x v="4"/>
    <x v="14"/>
    <n v="5"/>
    <n v="99.99"/>
    <n v="0.1"/>
    <s v="EFT"/>
    <n v="499.95"/>
    <n v="50"/>
    <n v="449.95"/>
  </r>
  <r>
    <s v="ORD00299"/>
    <x v="107"/>
    <x v="2"/>
    <s v="CUST0037"/>
    <x v="0"/>
    <s v="Durban"/>
    <s v="Online"/>
    <x v="0"/>
    <x v="6"/>
    <n v="2"/>
    <n v="129.99"/>
    <n v="0"/>
    <s v="Mobile Payment"/>
    <n v="259.98"/>
    <n v="0"/>
    <n v="259.98"/>
  </r>
  <r>
    <s v="ORD00300"/>
    <x v="205"/>
    <x v="5"/>
    <s v="CUST0163"/>
    <x v="2"/>
    <s v="Tzaneen"/>
    <s v="In-store"/>
    <x v="3"/>
    <x v="5"/>
    <n v="4"/>
    <n v="199.99"/>
    <n v="0"/>
    <s v="Cash"/>
    <n v="799.96"/>
    <n v="0"/>
    <n v="799.96"/>
  </r>
  <r>
    <s v="ORD00301"/>
    <x v="72"/>
    <x v="1"/>
    <s v="CUST0014"/>
    <x v="3"/>
    <s v="Cape Town"/>
    <s v="Online"/>
    <x v="4"/>
    <x v="7"/>
    <n v="3"/>
    <n v="299.99"/>
    <n v="0.05"/>
    <s v="Card"/>
    <n v="899.97"/>
    <n v="45"/>
    <n v="854.97"/>
  </r>
  <r>
    <s v="ORD00302"/>
    <x v="206"/>
    <x v="2"/>
    <s v="CUST0127"/>
    <x v="3"/>
    <s v="Stellenbosch"/>
    <s v="Online"/>
    <x v="4"/>
    <x v="10"/>
    <n v="5"/>
    <n v="129.99"/>
    <n v="0.1"/>
    <s v="Mobile Payment"/>
    <n v="649.95000000000005"/>
    <n v="65"/>
    <n v="584.95000000000005"/>
  </r>
  <r>
    <s v="ORD00303"/>
    <x v="207"/>
    <x v="3"/>
    <s v="CUST0008"/>
    <x v="4"/>
    <s v="East London"/>
    <s v="In-store"/>
    <x v="4"/>
    <x v="14"/>
    <n v="2"/>
    <n v="99.99"/>
    <n v="0"/>
    <s v="EFT"/>
    <n v="199.98"/>
    <n v="0"/>
    <n v="199.98"/>
  </r>
  <r>
    <s v="ORD00304"/>
    <x v="207"/>
    <x v="3"/>
    <s v="CUST0191"/>
    <x v="3"/>
    <s v="Stellenbosch"/>
    <s v="Online"/>
    <x v="0"/>
    <x v="9"/>
    <n v="2"/>
    <n v="149.99"/>
    <n v="0.05"/>
    <s v="Card"/>
    <n v="299.98"/>
    <n v="15"/>
    <n v="284.98"/>
  </r>
  <r>
    <s v="ORD00305"/>
    <x v="208"/>
    <x v="8"/>
    <s v="CUST0140"/>
    <x v="0"/>
    <s v="Pietermaritzburg"/>
    <s v="In-store"/>
    <x v="3"/>
    <x v="11"/>
    <n v="5"/>
    <n v="399.99"/>
    <n v="0"/>
    <s v="Mobile Payment"/>
    <n v="1999.95"/>
    <n v="0"/>
    <n v="1999.95"/>
  </r>
  <r>
    <s v="ORD00306"/>
    <x v="209"/>
    <x v="11"/>
    <s v="CUST0221"/>
    <x v="0"/>
    <s v="Durban"/>
    <s v="In-store"/>
    <x v="0"/>
    <x v="6"/>
    <n v="4"/>
    <n v="129.99"/>
    <n v="0"/>
    <s v="Mobile Payment"/>
    <n v="519.96"/>
    <n v="0"/>
    <n v="519.96"/>
  </r>
  <r>
    <s v="ORD00307"/>
    <x v="210"/>
    <x v="1"/>
    <s v="CUST0110"/>
    <x v="3"/>
    <s v="Stellenbosch"/>
    <s v="In-store"/>
    <x v="0"/>
    <x v="6"/>
    <n v="6"/>
    <n v="129.99"/>
    <n v="0.1"/>
    <s v="Cash"/>
    <n v="779.94"/>
    <n v="77.989999999999995"/>
    <n v="701.95"/>
  </r>
  <r>
    <s v="ORD00308"/>
    <x v="97"/>
    <x v="4"/>
    <s v="CUST0153"/>
    <x v="1"/>
    <s v="Soweto"/>
    <s v="In-store"/>
    <x v="1"/>
    <x v="2"/>
    <n v="3"/>
    <n v="104.99"/>
    <n v="0.1"/>
    <s v="EFT"/>
    <n v="314.97000000000003"/>
    <n v="31.5"/>
    <n v="283.47000000000003"/>
  </r>
  <r>
    <s v="ORD00309"/>
    <x v="211"/>
    <x v="0"/>
    <s v="CUST0035"/>
    <x v="2"/>
    <s v="Tzaneen"/>
    <s v="Online"/>
    <x v="2"/>
    <x v="15"/>
    <n v="5"/>
    <n v="119.99"/>
    <n v="0.15"/>
    <s v="Card"/>
    <n v="599.95000000000005"/>
    <n v="89.99"/>
    <n v="509.96"/>
  </r>
  <r>
    <s v="ORD00310"/>
    <x v="144"/>
    <x v="11"/>
    <s v="CUST0213"/>
    <x v="3"/>
    <s v="Cape Town"/>
    <s v="In-store"/>
    <x v="2"/>
    <x v="4"/>
    <n v="2"/>
    <n v="89.99"/>
    <n v="0.15"/>
    <s v="Mobile Payment"/>
    <n v="179.98"/>
    <n v="27"/>
    <n v="152.97999999999999"/>
  </r>
  <r>
    <s v="ORD00311"/>
    <x v="109"/>
    <x v="7"/>
    <s v="CUST0116"/>
    <x v="2"/>
    <s v="Tzaneen"/>
    <s v="In-store"/>
    <x v="4"/>
    <x v="10"/>
    <n v="6"/>
    <n v="129.99"/>
    <n v="0.05"/>
    <s v="Card"/>
    <n v="779.94"/>
    <n v="39"/>
    <n v="740.94"/>
  </r>
  <r>
    <s v="ORD00312"/>
    <x v="155"/>
    <x v="11"/>
    <s v="CUST0149"/>
    <x v="0"/>
    <s v="Pietermaritzburg"/>
    <s v="In-store"/>
    <x v="4"/>
    <x v="14"/>
    <n v="4"/>
    <n v="99.99"/>
    <n v="0.05"/>
    <s v="Card"/>
    <n v="399.96"/>
    <n v="20"/>
    <n v="379.96"/>
  </r>
  <r>
    <s v="ORD00313"/>
    <x v="178"/>
    <x v="9"/>
    <s v="CUST0248"/>
    <x v="0"/>
    <s v="Durban"/>
    <s v="Online"/>
    <x v="4"/>
    <x v="14"/>
    <n v="5"/>
    <n v="99.99"/>
    <n v="0.05"/>
    <s v="Cash"/>
    <n v="499.95"/>
    <n v="25"/>
    <n v="474.95"/>
  </r>
  <r>
    <s v="ORD00314"/>
    <x v="19"/>
    <x v="3"/>
    <s v="CUST0034"/>
    <x v="0"/>
    <s v="Pietermaritzburg"/>
    <s v="Online"/>
    <x v="4"/>
    <x v="7"/>
    <n v="3"/>
    <n v="299.99"/>
    <n v="0.1"/>
    <s v="EFT"/>
    <n v="899.97"/>
    <n v="90"/>
    <n v="809.97"/>
  </r>
  <r>
    <s v="ORD00315"/>
    <x v="131"/>
    <x v="6"/>
    <s v="CUST0238"/>
    <x v="1"/>
    <s v="Soweto"/>
    <s v="In-store"/>
    <x v="0"/>
    <x v="0"/>
    <n v="4"/>
    <n v="89.99"/>
    <n v="0"/>
    <s v="Mobile Payment"/>
    <n v="359.96"/>
    <n v="0"/>
    <n v="359.96"/>
  </r>
  <r>
    <s v="ORD00316"/>
    <x v="187"/>
    <x v="1"/>
    <s v="CUST0078"/>
    <x v="4"/>
    <s v="Gqeberha"/>
    <s v="In-store"/>
    <x v="4"/>
    <x v="10"/>
    <n v="6"/>
    <n v="129.99"/>
    <n v="0"/>
    <s v="EFT"/>
    <n v="779.94"/>
    <n v="0"/>
    <n v="779.94"/>
  </r>
  <r>
    <s v="ORD00317"/>
    <x v="187"/>
    <x v="1"/>
    <s v="CUST0043"/>
    <x v="0"/>
    <s v="Durban"/>
    <s v="In-store"/>
    <x v="0"/>
    <x v="9"/>
    <n v="3"/>
    <n v="149.99"/>
    <n v="0.15"/>
    <s v="Mobile Payment"/>
    <n v="449.97"/>
    <n v="67.5"/>
    <n v="382.47"/>
  </r>
  <r>
    <s v="ORD00318"/>
    <x v="212"/>
    <x v="10"/>
    <s v="CUST0055"/>
    <x v="4"/>
    <s v="Gqeberha"/>
    <s v="Online"/>
    <x v="2"/>
    <x v="4"/>
    <n v="6"/>
    <n v="89.99"/>
    <n v="0"/>
    <s v="Card"/>
    <n v="539.94000000000005"/>
    <n v="0"/>
    <n v="539.94000000000005"/>
  </r>
  <r>
    <s v="ORD00319"/>
    <x v="96"/>
    <x v="2"/>
    <s v="CUST0088"/>
    <x v="2"/>
    <s v="Tzaneen"/>
    <s v="In-store"/>
    <x v="1"/>
    <x v="2"/>
    <n v="1"/>
    <n v="104.99"/>
    <n v="0"/>
    <s v="Mobile Payment"/>
    <n v="104.99"/>
    <n v="0"/>
    <n v="104.99"/>
  </r>
  <r>
    <s v="ORD00320"/>
    <x v="0"/>
    <x v="0"/>
    <s v="CUST0027"/>
    <x v="1"/>
    <s v="Johannesburg"/>
    <s v="Online"/>
    <x v="1"/>
    <x v="1"/>
    <n v="4"/>
    <n v="79.989999999999995"/>
    <n v="0"/>
    <s v="EFT"/>
    <n v="319.95999999999998"/>
    <n v="0"/>
    <n v="319.95999999999998"/>
  </r>
  <r>
    <s v="ORD00321"/>
    <x v="108"/>
    <x v="6"/>
    <s v="CUST0018"/>
    <x v="4"/>
    <s v="Gqeberha"/>
    <s v="In-store"/>
    <x v="2"/>
    <x v="4"/>
    <n v="6"/>
    <n v="89.99"/>
    <n v="0.15"/>
    <s v="Cash"/>
    <n v="539.94000000000005"/>
    <n v="80.989999999999995"/>
    <n v="458.95"/>
  </r>
  <r>
    <s v="ORD00322"/>
    <x v="213"/>
    <x v="2"/>
    <s v="CUST0114"/>
    <x v="3"/>
    <s v="Cape Town"/>
    <s v="In-store"/>
    <x v="4"/>
    <x v="7"/>
    <n v="4"/>
    <n v="299.99"/>
    <n v="0.1"/>
    <s v="Card"/>
    <n v="1199.96"/>
    <n v="120"/>
    <n v="1079.96"/>
  </r>
  <r>
    <s v="ORD00323"/>
    <x v="106"/>
    <x v="11"/>
    <s v="CUST0247"/>
    <x v="1"/>
    <s v="Soweto"/>
    <s v="Online"/>
    <x v="0"/>
    <x v="6"/>
    <n v="6"/>
    <n v="129.99"/>
    <n v="0.05"/>
    <s v="EFT"/>
    <n v="779.94"/>
    <n v="39"/>
    <n v="740.94"/>
  </r>
  <r>
    <s v="ORD00324"/>
    <x v="214"/>
    <x v="1"/>
    <s v="CUST0154"/>
    <x v="0"/>
    <s v="Durban"/>
    <s v="Online"/>
    <x v="1"/>
    <x v="2"/>
    <n v="2"/>
    <n v="104.99"/>
    <n v="0.1"/>
    <s v="Card"/>
    <n v="209.98"/>
    <n v="21"/>
    <n v="188.98"/>
  </r>
  <r>
    <s v="ORD00325"/>
    <x v="43"/>
    <x v="11"/>
    <s v="CUST0166"/>
    <x v="2"/>
    <s v="Polokwane"/>
    <s v="In-store"/>
    <x v="2"/>
    <x v="4"/>
    <n v="6"/>
    <n v="89.99"/>
    <n v="0.05"/>
    <s v="Cash"/>
    <n v="539.94000000000005"/>
    <n v="27"/>
    <n v="512.94000000000005"/>
  </r>
  <r>
    <s v="ORD00326"/>
    <x v="215"/>
    <x v="1"/>
    <s v="CUST0019"/>
    <x v="1"/>
    <s v="Johannesburg"/>
    <s v="In-store"/>
    <x v="4"/>
    <x v="7"/>
    <n v="4"/>
    <n v="299.99"/>
    <n v="0.15"/>
    <s v="EFT"/>
    <n v="1199.96"/>
    <n v="179.99"/>
    <n v="1019.97"/>
  </r>
  <r>
    <s v="ORD00327"/>
    <x v="216"/>
    <x v="2"/>
    <s v="CUST0045"/>
    <x v="4"/>
    <s v="East London"/>
    <s v="Online"/>
    <x v="2"/>
    <x v="4"/>
    <n v="3"/>
    <n v="89.99"/>
    <n v="0.1"/>
    <s v="Card"/>
    <n v="269.97000000000003"/>
    <n v="27"/>
    <n v="242.97"/>
  </r>
  <r>
    <s v="ORD00328"/>
    <x v="217"/>
    <x v="10"/>
    <s v="CUST0243"/>
    <x v="1"/>
    <s v="Pretoria"/>
    <s v="Online"/>
    <x v="0"/>
    <x v="0"/>
    <n v="2"/>
    <n v="89.99"/>
    <n v="0"/>
    <s v="EFT"/>
    <n v="179.98"/>
    <n v="0"/>
    <n v="179.98"/>
  </r>
  <r>
    <s v="ORD00329"/>
    <x v="218"/>
    <x v="3"/>
    <s v="CUST0138"/>
    <x v="4"/>
    <s v="East London"/>
    <s v="In-store"/>
    <x v="3"/>
    <x v="8"/>
    <n v="1"/>
    <n v="249.99"/>
    <n v="0.15"/>
    <s v="EFT"/>
    <n v="249.99"/>
    <n v="37.5"/>
    <n v="212.49"/>
  </r>
  <r>
    <s v="ORD00330"/>
    <x v="218"/>
    <x v="3"/>
    <s v="CUST0084"/>
    <x v="1"/>
    <s v="Soweto"/>
    <s v="Online"/>
    <x v="0"/>
    <x v="9"/>
    <n v="2"/>
    <n v="149.99"/>
    <n v="0"/>
    <s v="Card"/>
    <n v="299.98"/>
    <n v="0"/>
    <n v="299.98"/>
  </r>
  <r>
    <s v="ORD00331"/>
    <x v="219"/>
    <x v="8"/>
    <s v="CUST0030"/>
    <x v="3"/>
    <s v="Cape Town"/>
    <s v="Online"/>
    <x v="2"/>
    <x v="12"/>
    <n v="2"/>
    <n v="109.99"/>
    <n v="0"/>
    <s v="Card"/>
    <n v="219.98"/>
    <n v="0"/>
    <n v="219.98"/>
  </r>
  <r>
    <s v="ORD00332"/>
    <x v="37"/>
    <x v="2"/>
    <s v="CUST0003"/>
    <x v="1"/>
    <s v="Johannesburg"/>
    <s v="In-store"/>
    <x v="2"/>
    <x v="4"/>
    <n v="6"/>
    <n v="89.99"/>
    <n v="0"/>
    <s v="Mobile Payment"/>
    <n v="539.94000000000005"/>
    <n v="0"/>
    <n v="539.94000000000005"/>
  </r>
  <r>
    <s v="ORD00333"/>
    <x v="220"/>
    <x v="4"/>
    <s v="CUST0188"/>
    <x v="3"/>
    <s v="Stellenbosch"/>
    <s v="In-store"/>
    <x v="2"/>
    <x v="15"/>
    <n v="2"/>
    <n v="119.99"/>
    <n v="0.15"/>
    <s v="Card"/>
    <n v="239.98"/>
    <n v="36"/>
    <n v="203.98"/>
  </r>
  <r>
    <s v="ORD00334"/>
    <x v="19"/>
    <x v="3"/>
    <s v="CUST0161"/>
    <x v="0"/>
    <s v="Durban"/>
    <s v="In-store"/>
    <x v="2"/>
    <x v="12"/>
    <n v="3"/>
    <n v="109.99"/>
    <n v="0.15"/>
    <s v="Mobile Payment"/>
    <n v="329.97"/>
    <n v="49.5"/>
    <n v="280.47000000000003"/>
  </r>
  <r>
    <s v="ORD00335"/>
    <x v="221"/>
    <x v="6"/>
    <s v="CUST0095"/>
    <x v="0"/>
    <s v="Durban"/>
    <s v="In-store"/>
    <x v="4"/>
    <x v="14"/>
    <n v="4"/>
    <n v="99.99"/>
    <n v="0.1"/>
    <s v="EFT"/>
    <n v="399.96"/>
    <n v="40"/>
    <n v="359.96"/>
  </r>
  <r>
    <s v="ORD00336"/>
    <x v="222"/>
    <x v="4"/>
    <s v="CUST0012"/>
    <x v="3"/>
    <s v="Cape Town"/>
    <s v="Online"/>
    <x v="0"/>
    <x v="0"/>
    <n v="1"/>
    <n v="89.99"/>
    <n v="0"/>
    <s v="EFT"/>
    <n v="89.99"/>
    <n v="0"/>
    <n v="89.99"/>
  </r>
  <r>
    <s v="ORD00337"/>
    <x v="223"/>
    <x v="2"/>
    <s v="CUST0108"/>
    <x v="3"/>
    <s v="Cape Town"/>
    <s v="In-store"/>
    <x v="4"/>
    <x v="10"/>
    <n v="5"/>
    <n v="129.99"/>
    <n v="0.15"/>
    <s v="EFT"/>
    <n v="649.95000000000005"/>
    <n v="97.49"/>
    <n v="552.46"/>
  </r>
  <r>
    <s v="ORD00338"/>
    <x v="224"/>
    <x v="7"/>
    <s v="CUST0031"/>
    <x v="0"/>
    <s v="Pietermaritzburg"/>
    <s v="In-store"/>
    <x v="1"/>
    <x v="1"/>
    <n v="1"/>
    <n v="79.989999999999995"/>
    <n v="0.1"/>
    <s v="Cash"/>
    <n v="79.989999999999995"/>
    <n v="8"/>
    <n v="71.989999999999995"/>
  </r>
  <r>
    <s v="ORD00339"/>
    <x v="225"/>
    <x v="11"/>
    <s v="CUST0084"/>
    <x v="4"/>
    <s v="Gqeberha"/>
    <s v="In-store"/>
    <x v="1"/>
    <x v="16"/>
    <n v="4"/>
    <n v="99.99"/>
    <n v="0"/>
    <s v="Mobile Payment"/>
    <n v="399.96"/>
    <n v="0"/>
    <n v="399.96"/>
  </r>
  <r>
    <s v="ORD00340"/>
    <x v="226"/>
    <x v="1"/>
    <s v="CUST0063"/>
    <x v="3"/>
    <s v="Stellenbosch"/>
    <s v="Online"/>
    <x v="0"/>
    <x v="9"/>
    <n v="5"/>
    <n v="149.99"/>
    <n v="0"/>
    <s v="EFT"/>
    <n v="749.95"/>
    <n v="0"/>
    <n v="749.95"/>
  </r>
  <r>
    <s v="ORD00341"/>
    <x v="77"/>
    <x v="7"/>
    <s v="CUST0007"/>
    <x v="3"/>
    <s v="Cape Town"/>
    <s v="In-store"/>
    <x v="3"/>
    <x v="8"/>
    <n v="2"/>
    <n v="249.99"/>
    <n v="0"/>
    <s v="EFT"/>
    <n v="499.98"/>
    <n v="0"/>
    <n v="499.98"/>
  </r>
  <r>
    <s v="ORD00342"/>
    <x v="227"/>
    <x v="11"/>
    <s v="CUST0027"/>
    <x v="1"/>
    <s v="Soweto"/>
    <s v="In-store"/>
    <x v="0"/>
    <x v="9"/>
    <n v="4"/>
    <n v="149.99"/>
    <n v="0.15"/>
    <s v="Cash"/>
    <n v="599.96"/>
    <n v="89.99"/>
    <n v="509.97"/>
  </r>
  <r>
    <s v="ORD00343"/>
    <x v="23"/>
    <x v="0"/>
    <s v="CUST0012"/>
    <x v="1"/>
    <s v="Johannesburg"/>
    <s v="In-store"/>
    <x v="4"/>
    <x v="7"/>
    <n v="6"/>
    <n v="299.99"/>
    <n v="0"/>
    <s v="Mobile Payment"/>
    <n v="1799.94"/>
    <n v="0"/>
    <n v="1799.94"/>
  </r>
  <r>
    <s v="ORD00344"/>
    <x v="158"/>
    <x v="6"/>
    <s v="CUST0164"/>
    <x v="1"/>
    <s v="Soweto"/>
    <s v="Online"/>
    <x v="2"/>
    <x v="12"/>
    <n v="1"/>
    <n v="109.99"/>
    <n v="0.1"/>
    <s v="Card"/>
    <n v="109.99"/>
    <n v="11"/>
    <n v="98.99"/>
  </r>
  <r>
    <s v="ORD00345"/>
    <x v="228"/>
    <x v="4"/>
    <s v="CUST0218"/>
    <x v="4"/>
    <s v="Gqeberha"/>
    <s v="Online"/>
    <x v="3"/>
    <x v="11"/>
    <n v="2"/>
    <n v="399.99"/>
    <n v="0"/>
    <s v="Mobile Payment"/>
    <n v="799.98"/>
    <n v="0"/>
    <n v="799.98"/>
  </r>
  <r>
    <s v="ORD00346"/>
    <x v="229"/>
    <x v="9"/>
    <s v="CUST0035"/>
    <x v="4"/>
    <s v="East London"/>
    <s v="In-store"/>
    <x v="2"/>
    <x v="15"/>
    <n v="2"/>
    <n v="119.99"/>
    <n v="0"/>
    <s v="Cash"/>
    <n v="239.98"/>
    <n v="0"/>
    <n v="239.98"/>
  </r>
  <r>
    <s v="ORD00347"/>
    <x v="66"/>
    <x v="6"/>
    <s v="CUST0138"/>
    <x v="4"/>
    <s v="East London"/>
    <s v="Online"/>
    <x v="0"/>
    <x v="6"/>
    <n v="3"/>
    <n v="129.99"/>
    <n v="0.05"/>
    <s v="Cash"/>
    <n v="389.97"/>
    <n v="19.5"/>
    <n v="370.47"/>
  </r>
  <r>
    <s v="ORD00348"/>
    <x v="12"/>
    <x v="6"/>
    <s v="CUST0207"/>
    <x v="4"/>
    <s v="East London"/>
    <s v="Online"/>
    <x v="4"/>
    <x v="7"/>
    <n v="1"/>
    <n v="299.99"/>
    <n v="0"/>
    <s v="Card"/>
    <n v="299.99"/>
    <n v="0"/>
    <n v="299.99"/>
  </r>
  <r>
    <s v="ORD00349"/>
    <x v="230"/>
    <x v="7"/>
    <s v="CUST0102"/>
    <x v="3"/>
    <s v="Cape Town"/>
    <s v="In-store"/>
    <x v="1"/>
    <x v="13"/>
    <n v="6"/>
    <n v="139.99"/>
    <n v="0"/>
    <s v="EFT"/>
    <n v="839.94"/>
    <n v="0"/>
    <n v="839.94"/>
  </r>
  <r>
    <s v="ORD00350"/>
    <x v="231"/>
    <x v="3"/>
    <s v="CUST0064"/>
    <x v="1"/>
    <s v="Pretoria"/>
    <s v="In-store"/>
    <x v="2"/>
    <x v="4"/>
    <n v="4"/>
    <n v="89.99"/>
    <n v="0.1"/>
    <s v="Mobile Payment"/>
    <n v="359.96"/>
    <n v="36"/>
    <n v="323.95999999999998"/>
  </r>
  <r>
    <s v="ORD00351"/>
    <x v="101"/>
    <x v="6"/>
    <s v="CUST0051"/>
    <x v="1"/>
    <s v="Johannesburg"/>
    <s v="Online"/>
    <x v="0"/>
    <x v="6"/>
    <n v="1"/>
    <n v="129.99"/>
    <n v="0"/>
    <s v="EFT"/>
    <n v="129.99"/>
    <n v="0"/>
    <n v="129.99"/>
  </r>
  <r>
    <s v="ORD00352"/>
    <x v="232"/>
    <x v="1"/>
    <s v="CUST0114"/>
    <x v="1"/>
    <s v="Johannesburg"/>
    <s v="In-store"/>
    <x v="0"/>
    <x v="9"/>
    <n v="1"/>
    <n v="149.99"/>
    <n v="0"/>
    <s v="Card"/>
    <n v="149.99"/>
    <n v="0"/>
    <n v="149.99"/>
  </r>
  <r>
    <s v="ORD00353"/>
    <x v="166"/>
    <x v="3"/>
    <s v="CUST0111"/>
    <x v="1"/>
    <s v="Pretoria"/>
    <s v="Online"/>
    <x v="2"/>
    <x v="18"/>
    <n v="1"/>
    <n v="179.99"/>
    <n v="0"/>
    <s v="Mobile Payment"/>
    <n v="179.99"/>
    <n v="0"/>
    <n v="179.99"/>
  </r>
  <r>
    <s v="ORD00354"/>
    <x v="171"/>
    <x v="9"/>
    <s v="CUST0071"/>
    <x v="4"/>
    <s v="Gqeberha"/>
    <s v="Online"/>
    <x v="0"/>
    <x v="3"/>
    <n v="3"/>
    <n v="119.99"/>
    <n v="0"/>
    <s v="Mobile Payment"/>
    <n v="359.97"/>
    <n v="0"/>
    <n v="359.97"/>
  </r>
  <r>
    <s v="ORD00355"/>
    <x v="233"/>
    <x v="5"/>
    <s v="CUST0106"/>
    <x v="2"/>
    <s v="Polokwane"/>
    <s v="Online"/>
    <x v="1"/>
    <x v="16"/>
    <n v="6"/>
    <n v="99.99"/>
    <n v="0"/>
    <s v="Card"/>
    <n v="599.94000000000005"/>
    <n v="0"/>
    <n v="599.94000000000005"/>
  </r>
  <r>
    <s v="ORD00356"/>
    <x v="119"/>
    <x v="1"/>
    <s v="CUST0227"/>
    <x v="4"/>
    <s v="Gqeberha"/>
    <s v="In-store"/>
    <x v="0"/>
    <x v="9"/>
    <n v="4"/>
    <n v="149.99"/>
    <n v="0"/>
    <s v="Card"/>
    <n v="599.96"/>
    <n v="0"/>
    <n v="599.96"/>
  </r>
  <r>
    <s v="ORD00357"/>
    <x v="91"/>
    <x v="11"/>
    <s v="CUST0234"/>
    <x v="0"/>
    <s v="Pietermaritzburg"/>
    <s v="Online"/>
    <x v="4"/>
    <x v="14"/>
    <n v="5"/>
    <n v="99.99"/>
    <n v="0.05"/>
    <s v="Mobile Payment"/>
    <n v="499.95"/>
    <n v="25"/>
    <n v="474.95"/>
  </r>
  <r>
    <s v="ORD00358"/>
    <x v="234"/>
    <x v="10"/>
    <s v="CUST0230"/>
    <x v="1"/>
    <s v="Pretoria"/>
    <s v="Online"/>
    <x v="2"/>
    <x v="4"/>
    <n v="5"/>
    <n v="89.99"/>
    <n v="0"/>
    <s v="Card"/>
    <n v="449.95"/>
    <n v="0"/>
    <n v="449.95"/>
  </r>
  <r>
    <s v="ORD00359"/>
    <x v="9"/>
    <x v="4"/>
    <s v="CUST0169"/>
    <x v="0"/>
    <s v="Durban"/>
    <s v="In-store"/>
    <x v="4"/>
    <x v="14"/>
    <n v="2"/>
    <n v="99.99"/>
    <n v="0"/>
    <s v="EFT"/>
    <n v="199.98"/>
    <n v="0"/>
    <n v="199.98"/>
  </r>
  <r>
    <s v="ORD00360"/>
    <x v="36"/>
    <x v="9"/>
    <s v="CUST0061"/>
    <x v="3"/>
    <s v="Stellenbosch"/>
    <s v="Online"/>
    <x v="3"/>
    <x v="11"/>
    <n v="3"/>
    <n v="399.99"/>
    <n v="0"/>
    <s v="EFT"/>
    <n v="1199.97"/>
    <n v="0"/>
    <n v="1199.97"/>
  </r>
  <r>
    <s v="ORD00361"/>
    <x v="10"/>
    <x v="5"/>
    <s v="CUST0139"/>
    <x v="0"/>
    <s v="Durban"/>
    <s v="Online"/>
    <x v="3"/>
    <x v="11"/>
    <n v="5"/>
    <n v="399.99"/>
    <n v="0"/>
    <s v="Cash"/>
    <n v="1999.95"/>
    <n v="0"/>
    <n v="1999.95"/>
  </r>
  <r>
    <s v="ORD00362"/>
    <x v="235"/>
    <x v="9"/>
    <s v="CUST0006"/>
    <x v="1"/>
    <s v="Johannesburg"/>
    <s v="Online"/>
    <x v="4"/>
    <x v="10"/>
    <n v="2"/>
    <n v="129.99"/>
    <n v="0.1"/>
    <s v="Card"/>
    <n v="259.98"/>
    <n v="26"/>
    <n v="233.98"/>
  </r>
  <r>
    <s v="ORD00363"/>
    <x v="236"/>
    <x v="11"/>
    <s v="CUST0016"/>
    <x v="3"/>
    <s v="Stellenbosch"/>
    <s v="In-store"/>
    <x v="2"/>
    <x v="4"/>
    <n v="6"/>
    <n v="89.99"/>
    <n v="0"/>
    <s v="Cash"/>
    <n v="539.94000000000005"/>
    <n v="0"/>
    <n v="539.94000000000005"/>
  </r>
  <r>
    <s v="ORD00364"/>
    <x v="16"/>
    <x v="7"/>
    <s v="CUST0181"/>
    <x v="1"/>
    <s v="Soweto"/>
    <s v="Online"/>
    <x v="3"/>
    <x v="5"/>
    <n v="3"/>
    <n v="199.99"/>
    <n v="0"/>
    <s v="Card"/>
    <n v="599.97"/>
    <n v="0"/>
    <n v="599.97"/>
  </r>
  <r>
    <s v="ORD00365"/>
    <x v="143"/>
    <x v="8"/>
    <s v="CUST0203"/>
    <x v="0"/>
    <s v="Durban"/>
    <s v="Online"/>
    <x v="2"/>
    <x v="15"/>
    <n v="2"/>
    <n v="119.99"/>
    <n v="0.15"/>
    <s v="EFT"/>
    <n v="239.98"/>
    <n v="36"/>
    <n v="203.98"/>
  </r>
  <r>
    <s v="ORD00366"/>
    <x v="47"/>
    <x v="2"/>
    <s v="CUST0076"/>
    <x v="3"/>
    <s v="Cape Town"/>
    <s v="In-store"/>
    <x v="1"/>
    <x v="13"/>
    <n v="4"/>
    <n v="139.99"/>
    <n v="0"/>
    <s v="Cash"/>
    <n v="559.96"/>
    <n v="0"/>
    <n v="559.96"/>
  </r>
  <r>
    <s v="ORD00367"/>
    <x v="237"/>
    <x v="11"/>
    <s v="CUST0236"/>
    <x v="2"/>
    <s v="Polokwane"/>
    <s v="In-store"/>
    <x v="0"/>
    <x v="3"/>
    <n v="2"/>
    <n v="119.99"/>
    <n v="0.1"/>
    <s v="Card"/>
    <n v="239.98"/>
    <n v="24"/>
    <n v="215.98"/>
  </r>
  <r>
    <s v="ORD00368"/>
    <x v="51"/>
    <x v="11"/>
    <s v="CUST0043"/>
    <x v="0"/>
    <s v="Durban"/>
    <s v="In-store"/>
    <x v="4"/>
    <x v="10"/>
    <n v="2"/>
    <n v="129.99"/>
    <n v="0"/>
    <s v="EFT"/>
    <n v="259.98"/>
    <n v="0"/>
    <n v="259.98"/>
  </r>
  <r>
    <s v="ORD00369"/>
    <x v="146"/>
    <x v="0"/>
    <s v="CUST0090"/>
    <x v="0"/>
    <s v="Durban"/>
    <s v="Online"/>
    <x v="4"/>
    <x v="10"/>
    <n v="2"/>
    <n v="129.99"/>
    <n v="0.15"/>
    <s v="Card"/>
    <n v="259.98"/>
    <n v="39"/>
    <n v="220.98"/>
  </r>
  <r>
    <s v="ORD00370"/>
    <x v="221"/>
    <x v="6"/>
    <s v="CUST0227"/>
    <x v="4"/>
    <s v="East London"/>
    <s v="Online"/>
    <x v="0"/>
    <x v="0"/>
    <n v="6"/>
    <n v="89.99"/>
    <n v="0.05"/>
    <s v="Mobile Payment"/>
    <n v="539.94000000000005"/>
    <n v="27"/>
    <n v="512.94000000000005"/>
  </r>
  <r>
    <s v="ORD00371"/>
    <x v="19"/>
    <x v="3"/>
    <s v="CUST0167"/>
    <x v="2"/>
    <s v="Tzaneen"/>
    <s v="In-store"/>
    <x v="4"/>
    <x v="7"/>
    <n v="1"/>
    <n v="299.99"/>
    <n v="0.05"/>
    <s v="Cash"/>
    <n v="299.99"/>
    <n v="15"/>
    <n v="284.99"/>
  </r>
  <r>
    <s v="ORD00372"/>
    <x v="228"/>
    <x v="4"/>
    <s v="CUST0244"/>
    <x v="1"/>
    <s v="Pretoria"/>
    <s v="In-store"/>
    <x v="4"/>
    <x v="10"/>
    <n v="1"/>
    <n v="129.99"/>
    <n v="0"/>
    <s v="Card"/>
    <n v="129.99"/>
    <n v="0"/>
    <n v="129.99"/>
  </r>
  <r>
    <s v="ORD00373"/>
    <x v="176"/>
    <x v="3"/>
    <s v="CUST0242"/>
    <x v="4"/>
    <s v="Gqeberha"/>
    <s v="In-store"/>
    <x v="2"/>
    <x v="4"/>
    <n v="6"/>
    <n v="89.99"/>
    <n v="0"/>
    <s v="EFT"/>
    <n v="539.94000000000005"/>
    <n v="0"/>
    <n v="539.94000000000005"/>
  </r>
  <r>
    <s v="ORD00374"/>
    <x v="238"/>
    <x v="1"/>
    <s v="CUST0228"/>
    <x v="1"/>
    <s v="Pretoria"/>
    <s v="Online"/>
    <x v="3"/>
    <x v="8"/>
    <n v="6"/>
    <n v="249.99"/>
    <n v="0"/>
    <s v="Cash"/>
    <n v="1499.94"/>
    <n v="0"/>
    <n v="1499.94"/>
  </r>
  <r>
    <s v="ORD00375"/>
    <x v="96"/>
    <x v="2"/>
    <s v="CUST0142"/>
    <x v="0"/>
    <s v="Durban"/>
    <s v="Online"/>
    <x v="0"/>
    <x v="0"/>
    <n v="2"/>
    <n v="89.99"/>
    <n v="0.05"/>
    <s v="EFT"/>
    <n v="179.98"/>
    <n v="9"/>
    <n v="170.98"/>
  </r>
  <r>
    <s v="ORD00376"/>
    <x v="231"/>
    <x v="3"/>
    <s v="CUST0216"/>
    <x v="1"/>
    <s v="Johannesburg"/>
    <s v="Online"/>
    <x v="2"/>
    <x v="4"/>
    <n v="4"/>
    <n v="89.99"/>
    <n v="0.1"/>
    <s v="Cash"/>
    <n v="359.96"/>
    <n v="36"/>
    <n v="323.95999999999998"/>
  </r>
  <r>
    <s v="ORD00377"/>
    <x v="194"/>
    <x v="2"/>
    <s v="CUST0161"/>
    <x v="1"/>
    <s v="Pretoria"/>
    <s v="Online"/>
    <x v="0"/>
    <x v="9"/>
    <n v="1"/>
    <n v="149.99"/>
    <n v="0"/>
    <s v="Cash"/>
    <n v="149.99"/>
    <n v="0"/>
    <n v="149.99"/>
  </r>
  <r>
    <s v="ORD00378"/>
    <x v="27"/>
    <x v="0"/>
    <s v="CUST0122"/>
    <x v="3"/>
    <s v="Cape Town"/>
    <s v="In-store"/>
    <x v="0"/>
    <x v="0"/>
    <n v="6"/>
    <n v="89.99"/>
    <n v="0"/>
    <s v="EFT"/>
    <n v="539.94000000000005"/>
    <n v="0"/>
    <n v="539.94000000000005"/>
  </r>
  <r>
    <s v="ORD00379"/>
    <x v="74"/>
    <x v="3"/>
    <s v="CUST0100"/>
    <x v="4"/>
    <s v="East London"/>
    <s v="In-store"/>
    <x v="4"/>
    <x v="7"/>
    <n v="1"/>
    <n v="299.99"/>
    <n v="0.15"/>
    <s v="EFT"/>
    <n v="299.99"/>
    <n v="45"/>
    <n v="254.99"/>
  </r>
  <r>
    <s v="ORD00380"/>
    <x v="208"/>
    <x v="8"/>
    <s v="CUST0120"/>
    <x v="3"/>
    <s v="Stellenbosch"/>
    <s v="Online"/>
    <x v="4"/>
    <x v="7"/>
    <n v="1"/>
    <n v="299.99"/>
    <n v="0"/>
    <s v="Cash"/>
    <n v="299.99"/>
    <n v="0"/>
    <n v="299.99"/>
  </r>
  <r>
    <s v="ORD00381"/>
    <x v="91"/>
    <x v="11"/>
    <s v="CUST0207"/>
    <x v="3"/>
    <s v="Cape Town"/>
    <s v="Online"/>
    <x v="2"/>
    <x v="18"/>
    <n v="1"/>
    <n v="179.99"/>
    <n v="0.15"/>
    <s v="Cash"/>
    <n v="179.99"/>
    <n v="27"/>
    <n v="152.99"/>
  </r>
  <r>
    <s v="ORD00382"/>
    <x v="239"/>
    <x v="5"/>
    <s v="CUST0147"/>
    <x v="4"/>
    <s v="East London"/>
    <s v="In-store"/>
    <x v="3"/>
    <x v="11"/>
    <n v="5"/>
    <n v="399.99"/>
    <n v="0.15"/>
    <s v="Mobile Payment"/>
    <n v="1999.95"/>
    <n v="299.99"/>
    <n v="1699.96"/>
  </r>
  <r>
    <s v="ORD00383"/>
    <x v="240"/>
    <x v="5"/>
    <s v="CUST0205"/>
    <x v="4"/>
    <s v="Gqeberha"/>
    <s v="In-store"/>
    <x v="2"/>
    <x v="18"/>
    <n v="5"/>
    <n v="179.99"/>
    <n v="0.1"/>
    <s v="Card"/>
    <n v="899.95"/>
    <n v="90"/>
    <n v="809.95"/>
  </r>
  <r>
    <s v="ORD00384"/>
    <x v="113"/>
    <x v="10"/>
    <s v="CUST0109"/>
    <x v="3"/>
    <s v="Cape Town"/>
    <s v="In-store"/>
    <x v="4"/>
    <x v="10"/>
    <n v="2"/>
    <n v="129.99"/>
    <n v="0"/>
    <s v="Mobile Payment"/>
    <n v="259.98"/>
    <n v="0"/>
    <n v="259.98"/>
  </r>
  <r>
    <s v="ORD00385"/>
    <x v="146"/>
    <x v="0"/>
    <s v="CUST0023"/>
    <x v="2"/>
    <s v="Tzaneen"/>
    <s v="Online"/>
    <x v="1"/>
    <x v="2"/>
    <n v="3"/>
    <n v="104.99"/>
    <n v="0.15"/>
    <s v="Mobile Payment"/>
    <n v="314.97000000000003"/>
    <n v="47.25"/>
    <n v="267.72000000000003"/>
  </r>
  <r>
    <s v="ORD00386"/>
    <x v="159"/>
    <x v="1"/>
    <s v="CUST0151"/>
    <x v="0"/>
    <s v="Pietermaritzburg"/>
    <s v="Online"/>
    <x v="3"/>
    <x v="17"/>
    <n v="1"/>
    <n v="49.99"/>
    <n v="0.15"/>
    <s v="Card"/>
    <n v="49.99"/>
    <n v="7.5"/>
    <n v="42.49"/>
  </r>
  <r>
    <s v="ORD00387"/>
    <x v="5"/>
    <x v="0"/>
    <s v="CUST0202"/>
    <x v="3"/>
    <s v="Cape Town"/>
    <s v="Online"/>
    <x v="4"/>
    <x v="10"/>
    <n v="1"/>
    <n v="129.99"/>
    <n v="0.1"/>
    <s v="EFT"/>
    <n v="129.99"/>
    <n v="13"/>
    <n v="116.99"/>
  </r>
  <r>
    <s v="ORD00388"/>
    <x v="104"/>
    <x v="8"/>
    <s v="CUST0010"/>
    <x v="4"/>
    <s v="East London"/>
    <s v="In-store"/>
    <x v="4"/>
    <x v="7"/>
    <n v="5"/>
    <n v="299.99"/>
    <n v="0.1"/>
    <s v="EFT"/>
    <n v="1499.95"/>
    <n v="150"/>
    <n v="1349.95"/>
  </r>
  <r>
    <s v="ORD00389"/>
    <x v="42"/>
    <x v="11"/>
    <s v="CUST0177"/>
    <x v="2"/>
    <s v="Tzaneen"/>
    <s v="In-store"/>
    <x v="4"/>
    <x v="10"/>
    <n v="1"/>
    <n v="129.99"/>
    <n v="0.05"/>
    <s v="Card"/>
    <n v="129.99"/>
    <n v="6.5"/>
    <n v="123.49"/>
  </r>
  <r>
    <s v="ORD00390"/>
    <x v="225"/>
    <x v="11"/>
    <s v="CUST0072"/>
    <x v="0"/>
    <s v="Durban"/>
    <s v="Online"/>
    <x v="4"/>
    <x v="7"/>
    <n v="3"/>
    <n v="299.99"/>
    <n v="0"/>
    <s v="Card"/>
    <n v="899.97"/>
    <n v="0"/>
    <n v="899.97"/>
  </r>
  <r>
    <s v="ORD00391"/>
    <x v="71"/>
    <x v="8"/>
    <s v="CUST0155"/>
    <x v="0"/>
    <s v="Pietermaritzburg"/>
    <s v="In-store"/>
    <x v="1"/>
    <x v="2"/>
    <n v="3"/>
    <n v="104.99"/>
    <n v="0"/>
    <s v="Cash"/>
    <n v="314.97000000000003"/>
    <n v="0"/>
    <n v="314.97000000000003"/>
  </r>
  <r>
    <s v="ORD00392"/>
    <x v="183"/>
    <x v="10"/>
    <s v="CUST0132"/>
    <x v="4"/>
    <s v="East London"/>
    <s v="In-store"/>
    <x v="4"/>
    <x v="10"/>
    <n v="5"/>
    <n v="129.99"/>
    <n v="0"/>
    <s v="Card"/>
    <n v="649.95000000000005"/>
    <n v="0"/>
    <n v="649.95000000000005"/>
  </r>
  <r>
    <s v="ORD00393"/>
    <x v="150"/>
    <x v="9"/>
    <s v="CUST0215"/>
    <x v="3"/>
    <s v="Cape Town"/>
    <s v="In-store"/>
    <x v="2"/>
    <x v="12"/>
    <n v="2"/>
    <n v="109.99"/>
    <n v="0"/>
    <s v="Cash"/>
    <n v="219.98"/>
    <n v="0"/>
    <n v="219.98"/>
  </r>
  <r>
    <s v="ORD00394"/>
    <x v="93"/>
    <x v="4"/>
    <s v="CUST0095"/>
    <x v="1"/>
    <s v="Pretoria"/>
    <s v="Online"/>
    <x v="0"/>
    <x v="3"/>
    <n v="6"/>
    <n v="119.99"/>
    <n v="0"/>
    <s v="Mobile Payment"/>
    <n v="719.94"/>
    <n v="0"/>
    <n v="719.94"/>
  </r>
  <r>
    <s v="ORD00395"/>
    <x v="241"/>
    <x v="8"/>
    <s v="CUST0046"/>
    <x v="3"/>
    <s v="Stellenbosch"/>
    <s v="Online"/>
    <x v="0"/>
    <x v="0"/>
    <n v="4"/>
    <n v="89.99"/>
    <n v="0.1"/>
    <s v="EFT"/>
    <n v="359.96"/>
    <n v="36"/>
    <n v="323.95999999999998"/>
  </r>
  <r>
    <s v="ORD00396"/>
    <x v="86"/>
    <x v="7"/>
    <s v="CUST0013"/>
    <x v="0"/>
    <s v="Durban"/>
    <s v="In-store"/>
    <x v="2"/>
    <x v="4"/>
    <n v="3"/>
    <n v="89.99"/>
    <n v="0"/>
    <s v="Cash"/>
    <n v="269.97000000000003"/>
    <n v="0"/>
    <n v="269.97000000000003"/>
  </r>
  <r>
    <s v="ORD00397"/>
    <x v="242"/>
    <x v="5"/>
    <s v="CUST0006"/>
    <x v="3"/>
    <s v="Stellenbosch"/>
    <s v="In-store"/>
    <x v="1"/>
    <x v="2"/>
    <n v="6"/>
    <n v="104.99"/>
    <n v="0.05"/>
    <s v="Mobile Payment"/>
    <n v="629.94000000000005"/>
    <n v="31.5"/>
    <n v="598.44000000000005"/>
  </r>
  <r>
    <s v="ORD00398"/>
    <x v="136"/>
    <x v="1"/>
    <s v="CUST0207"/>
    <x v="2"/>
    <s v="Polokwane"/>
    <s v="Online"/>
    <x v="1"/>
    <x v="2"/>
    <n v="2"/>
    <n v="104.99"/>
    <n v="0"/>
    <s v="EFT"/>
    <n v="209.98"/>
    <n v="0"/>
    <n v="209.98"/>
  </r>
  <r>
    <s v="ORD00399"/>
    <x v="58"/>
    <x v="8"/>
    <s v="CUST0078"/>
    <x v="0"/>
    <s v="Pietermaritzburg"/>
    <s v="Online"/>
    <x v="4"/>
    <x v="7"/>
    <n v="3"/>
    <n v="299.99"/>
    <n v="0"/>
    <s v="Card"/>
    <n v="899.97"/>
    <n v="0"/>
    <n v="899.97"/>
  </r>
  <r>
    <s v="ORD00400"/>
    <x v="21"/>
    <x v="0"/>
    <s v="CUST0124"/>
    <x v="2"/>
    <s v="Tzaneen"/>
    <s v="In-store"/>
    <x v="0"/>
    <x v="9"/>
    <n v="3"/>
    <n v="149.99"/>
    <n v="0.15"/>
    <s v="EFT"/>
    <n v="449.97"/>
    <n v="67.5"/>
    <n v="382.47"/>
  </r>
  <r>
    <s v="ORD00401"/>
    <x v="122"/>
    <x v="1"/>
    <s v="CUST0077"/>
    <x v="0"/>
    <s v="Pietermaritzburg"/>
    <s v="In-store"/>
    <x v="2"/>
    <x v="15"/>
    <n v="6"/>
    <n v="119.99"/>
    <n v="0.15"/>
    <s v="Cash"/>
    <n v="719.94"/>
    <n v="107.99"/>
    <n v="611.95000000000005"/>
  </r>
  <r>
    <s v="ORD00402"/>
    <x v="51"/>
    <x v="11"/>
    <s v="CUST0175"/>
    <x v="1"/>
    <s v="Soweto"/>
    <s v="In-store"/>
    <x v="3"/>
    <x v="5"/>
    <n v="4"/>
    <n v="199.99"/>
    <n v="0.15"/>
    <s v="Card"/>
    <n v="799.96"/>
    <n v="119.99"/>
    <n v="679.97"/>
  </r>
  <r>
    <s v="ORD00403"/>
    <x v="243"/>
    <x v="10"/>
    <s v="CUST0150"/>
    <x v="0"/>
    <s v="Pietermaritzburg"/>
    <s v="In-store"/>
    <x v="4"/>
    <x v="7"/>
    <n v="4"/>
    <n v="299.99"/>
    <n v="0.05"/>
    <s v="EFT"/>
    <n v="1199.96"/>
    <n v="60"/>
    <n v="1139.96"/>
  </r>
  <r>
    <s v="ORD00404"/>
    <x v="124"/>
    <x v="3"/>
    <s v="CUST0047"/>
    <x v="0"/>
    <s v="Pietermaritzburg"/>
    <s v="Online"/>
    <x v="1"/>
    <x v="1"/>
    <n v="2"/>
    <n v="79.989999999999995"/>
    <n v="0.15"/>
    <s v="Card"/>
    <n v="159.97999999999999"/>
    <n v="24"/>
    <n v="135.97999999999999"/>
  </r>
  <r>
    <s v="ORD00405"/>
    <x v="223"/>
    <x v="2"/>
    <s v="CUST0023"/>
    <x v="0"/>
    <s v="Durban"/>
    <s v="In-store"/>
    <x v="4"/>
    <x v="10"/>
    <n v="6"/>
    <n v="129.99"/>
    <n v="0"/>
    <s v="EFT"/>
    <n v="779.94"/>
    <n v="0"/>
    <n v="779.94"/>
  </r>
  <r>
    <s v="ORD00406"/>
    <x v="244"/>
    <x v="3"/>
    <s v="CUST0076"/>
    <x v="4"/>
    <s v="East London"/>
    <s v="Online"/>
    <x v="1"/>
    <x v="13"/>
    <n v="3"/>
    <n v="139.99"/>
    <n v="0"/>
    <s v="Card"/>
    <n v="419.97"/>
    <n v="0"/>
    <n v="419.97"/>
  </r>
  <r>
    <s v="ORD00407"/>
    <x v="245"/>
    <x v="5"/>
    <s v="CUST0031"/>
    <x v="2"/>
    <s v="Polokwane"/>
    <s v="Online"/>
    <x v="4"/>
    <x v="10"/>
    <n v="4"/>
    <n v="129.99"/>
    <n v="0"/>
    <s v="EFT"/>
    <n v="519.96"/>
    <n v="0"/>
    <n v="519.96"/>
  </r>
  <r>
    <s v="ORD00408"/>
    <x v="77"/>
    <x v="7"/>
    <s v="CUST0146"/>
    <x v="3"/>
    <s v="Cape Town"/>
    <s v="Online"/>
    <x v="4"/>
    <x v="10"/>
    <n v="2"/>
    <n v="129.99"/>
    <n v="0"/>
    <s v="Cash"/>
    <n v="259.98"/>
    <n v="0"/>
    <n v="259.98"/>
  </r>
  <r>
    <s v="ORD00409"/>
    <x v="36"/>
    <x v="9"/>
    <s v="CUST0081"/>
    <x v="1"/>
    <s v="Pretoria"/>
    <s v="In-store"/>
    <x v="2"/>
    <x v="4"/>
    <n v="3"/>
    <n v="89.99"/>
    <n v="0.15"/>
    <s v="Card"/>
    <n v="269.97000000000003"/>
    <n v="40.5"/>
    <n v="229.47"/>
  </r>
  <r>
    <s v="ORD00410"/>
    <x v="13"/>
    <x v="5"/>
    <s v="CUST0202"/>
    <x v="3"/>
    <s v="Cape Town"/>
    <s v="In-store"/>
    <x v="4"/>
    <x v="7"/>
    <n v="5"/>
    <n v="299.99"/>
    <n v="0"/>
    <s v="Cash"/>
    <n v="1499.95"/>
    <n v="0"/>
    <n v="1499.95"/>
  </r>
  <r>
    <s v="ORD00411"/>
    <x v="246"/>
    <x v="7"/>
    <s v="CUST0002"/>
    <x v="4"/>
    <s v="East London"/>
    <s v="In-store"/>
    <x v="3"/>
    <x v="8"/>
    <n v="4"/>
    <n v="249.99"/>
    <n v="0.05"/>
    <s v="Cash"/>
    <n v="999.96"/>
    <n v="50"/>
    <n v="949.96"/>
  </r>
  <r>
    <s v="ORD00412"/>
    <x v="247"/>
    <x v="10"/>
    <s v="CUST0161"/>
    <x v="0"/>
    <s v="Durban"/>
    <s v="In-store"/>
    <x v="2"/>
    <x v="18"/>
    <n v="1"/>
    <n v="179.99"/>
    <n v="0.15"/>
    <s v="Cash"/>
    <n v="179.99"/>
    <n v="27"/>
    <n v="152.99"/>
  </r>
  <r>
    <s v="ORD00413"/>
    <x v="102"/>
    <x v="3"/>
    <s v="CUST0079"/>
    <x v="3"/>
    <s v="Cape Town"/>
    <s v="In-store"/>
    <x v="2"/>
    <x v="15"/>
    <n v="4"/>
    <n v="119.99"/>
    <n v="0.1"/>
    <s v="Card"/>
    <n v="479.96"/>
    <n v="48"/>
    <n v="431.96"/>
  </r>
  <r>
    <s v="ORD00414"/>
    <x v="11"/>
    <x v="1"/>
    <s v="CUST0135"/>
    <x v="0"/>
    <s v="Pietermaritzburg"/>
    <s v="Online"/>
    <x v="0"/>
    <x v="9"/>
    <n v="6"/>
    <n v="149.99"/>
    <n v="0.1"/>
    <s v="Mobile Payment"/>
    <n v="899.94"/>
    <n v="89.99"/>
    <n v="809.95"/>
  </r>
  <r>
    <s v="ORD00415"/>
    <x v="248"/>
    <x v="7"/>
    <s v="CUST0005"/>
    <x v="4"/>
    <s v="East London"/>
    <s v="In-store"/>
    <x v="1"/>
    <x v="13"/>
    <n v="2"/>
    <n v="139.99"/>
    <n v="0"/>
    <s v="Cash"/>
    <n v="279.98"/>
    <n v="0"/>
    <n v="279.98"/>
  </r>
  <r>
    <s v="ORD00416"/>
    <x v="131"/>
    <x v="6"/>
    <s v="CUST0094"/>
    <x v="1"/>
    <s v="Soweto"/>
    <s v="In-store"/>
    <x v="1"/>
    <x v="2"/>
    <n v="5"/>
    <n v="104.99"/>
    <n v="0"/>
    <s v="Mobile Payment"/>
    <n v="524.95000000000005"/>
    <n v="0"/>
    <n v="524.95000000000005"/>
  </r>
  <r>
    <s v="ORD00417"/>
    <x v="206"/>
    <x v="2"/>
    <s v="CUST0215"/>
    <x v="2"/>
    <s v="Polokwane"/>
    <s v="In-store"/>
    <x v="2"/>
    <x v="18"/>
    <n v="6"/>
    <n v="179.99"/>
    <n v="0"/>
    <s v="Card"/>
    <n v="1079.94"/>
    <n v="0"/>
    <n v="1079.94"/>
  </r>
  <r>
    <s v="ORD00418"/>
    <x v="142"/>
    <x v="4"/>
    <s v="CUST0122"/>
    <x v="4"/>
    <s v="East London"/>
    <s v="In-store"/>
    <x v="0"/>
    <x v="3"/>
    <n v="1"/>
    <n v="119.99"/>
    <n v="0.1"/>
    <s v="Cash"/>
    <n v="119.99"/>
    <n v="12"/>
    <n v="107.99"/>
  </r>
  <r>
    <s v="ORD00419"/>
    <x v="249"/>
    <x v="4"/>
    <s v="CUST0160"/>
    <x v="4"/>
    <s v="Gqeberha"/>
    <s v="In-store"/>
    <x v="0"/>
    <x v="9"/>
    <n v="6"/>
    <n v="149.99"/>
    <n v="0.1"/>
    <s v="Mobile Payment"/>
    <n v="899.94"/>
    <n v="89.99"/>
    <n v="809.95"/>
  </r>
  <r>
    <s v="ORD00420"/>
    <x v="118"/>
    <x v="9"/>
    <s v="CUST0156"/>
    <x v="0"/>
    <s v="Durban"/>
    <s v="In-store"/>
    <x v="0"/>
    <x v="0"/>
    <n v="1"/>
    <n v="89.99"/>
    <n v="0.05"/>
    <s v="EFT"/>
    <n v="89.99"/>
    <n v="4.5"/>
    <n v="85.49"/>
  </r>
  <r>
    <s v="ORD00421"/>
    <x v="250"/>
    <x v="10"/>
    <s v="CUST0141"/>
    <x v="0"/>
    <s v="Pietermaritzburg"/>
    <s v="Online"/>
    <x v="3"/>
    <x v="5"/>
    <n v="3"/>
    <n v="199.99"/>
    <n v="0"/>
    <s v="Cash"/>
    <n v="599.97"/>
    <n v="0"/>
    <n v="599.97"/>
  </r>
  <r>
    <s v="ORD00422"/>
    <x v="170"/>
    <x v="0"/>
    <s v="CUST0233"/>
    <x v="3"/>
    <s v="Cape Town"/>
    <s v="In-store"/>
    <x v="4"/>
    <x v="7"/>
    <n v="1"/>
    <n v="299.99"/>
    <n v="0.15"/>
    <s v="Mobile Payment"/>
    <n v="299.99"/>
    <n v="45"/>
    <n v="254.99"/>
  </r>
  <r>
    <s v="ORD00423"/>
    <x v="5"/>
    <x v="0"/>
    <s v="CUST0232"/>
    <x v="2"/>
    <s v="Polokwane"/>
    <s v="Online"/>
    <x v="1"/>
    <x v="16"/>
    <n v="6"/>
    <n v="99.99"/>
    <n v="0.15"/>
    <s v="Cash"/>
    <n v="599.94000000000005"/>
    <n v="89.99"/>
    <n v="509.95"/>
  </r>
  <r>
    <s v="ORD00424"/>
    <x v="184"/>
    <x v="6"/>
    <s v="CUST0224"/>
    <x v="0"/>
    <s v="Pietermaritzburg"/>
    <s v="In-store"/>
    <x v="4"/>
    <x v="7"/>
    <n v="1"/>
    <n v="299.99"/>
    <n v="0"/>
    <s v="EFT"/>
    <n v="299.99"/>
    <n v="0"/>
    <n v="299.99"/>
  </r>
  <r>
    <s v="ORD00425"/>
    <x v="251"/>
    <x v="10"/>
    <s v="CUST0219"/>
    <x v="4"/>
    <s v="Gqeberha"/>
    <s v="In-store"/>
    <x v="2"/>
    <x v="15"/>
    <n v="1"/>
    <n v="119.99"/>
    <n v="0"/>
    <s v="Cash"/>
    <n v="119.99"/>
    <n v="0"/>
    <n v="119.99"/>
  </r>
  <r>
    <s v="ORD00426"/>
    <x v="224"/>
    <x v="7"/>
    <s v="CUST0209"/>
    <x v="4"/>
    <s v="East London"/>
    <s v="Online"/>
    <x v="2"/>
    <x v="15"/>
    <n v="6"/>
    <n v="119.99"/>
    <n v="0"/>
    <s v="Cash"/>
    <n v="719.94"/>
    <n v="0"/>
    <n v="719.94"/>
  </r>
  <r>
    <s v="ORD00427"/>
    <x v="252"/>
    <x v="2"/>
    <s v="CUST0218"/>
    <x v="4"/>
    <s v="East London"/>
    <s v="Online"/>
    <x v="0"/>
    <x v="3"/>
    <n v="3"/>
    <n v="119.99"/>
    <n v="0.05"/>
    <s v="Mobile Payment"/>
    <n v="359.97"/>
    <n v="18"/>
    <n v="341.97"/>
  </r>
  <r>
    <s v="ORD00428"/>
    <x v="71"/>
    <x v="8"/>
    <s v="CUST0234"/>
    <x v="3"/>
    <s v="Cape Town"/>
    <s v="Online"/>
    <x v="1"/>
    <x v="16"/>
    <n v="2"/>
    <n v="99.99"/>
    <n v="0"/>
    <s v="Mobile Payment"/>
    <n v="199.98"/>
    <n v="0"/>
    <n v="199.98"/>
  </r>
  <r>
    <s v="ORD00429"/>
    <x v="101"/>
    <x v="6"/>
    <s v="CUST0124"/>
    <x v="0"/>
    <s v="Durban"/>
    <s v="Online"/>
    <x v="1"/>
    <x v="1"/>
    <n v="6"/>
    <n v="79.989999999999995"/>
    <n v="0.15"/>
    <s v="Card"/>
    <n v="479.94"/>
    <n v="71.989999999999995"/>
    <n v="407.95"/>
  </r>
  <r>
    <s v="ORD00430"/>
    <x v="253"/>
    <x v="11"/>
    <s v="CUST0004"/>
    <x v="1"/>
    <s v="Johannesburg"/>
    <s v="In-store"/>
    <x v="4"/>
    <x v="7"/>
    <n v="3"/>
    <n v="299.99"/>
    <n v="0.15"/>
    <s v="EFT"/>
    <n v="899.97"/>
    <n v="135"/>
    <n v="764.97"/>
  </r>
  <r>
    <s v="ORD00431"/>
    <x v="99"/>
    <x v="2"/>
    <s v="CUST0174"/>
    <x v="4"/>
    <s v="Gqeberha"/>
    <s v="Online"/>
    <x v="3"/>
    <x v="11"/>
    <n v="4"/>
    <n v="399.99"/>
    <n v="0"/>
    <s v="Cash"/>
    <n v="1599.96"/>
    <n v="0"/>
    <n v="1599.96"/>
  </r>
  <r>
    <s v="ORD00432"/>
    <x v="254"/>
    <x v="8"/>
    <s v="CUST0219"/>
    <x v="1"/>
    <s v="Soweto"/>
    <s v="Online"/>
    <x v="3"/>
    <x v="11"/>
    <n v="2"/>
    <n v="399.99"/>
    <n v="0.1"/>
    <s v="Cash"/>
    <n v="799.98"/>
    <n v="80"/>
    <n v="719.98"/>
  </r>
  <r>
    <s v="ORD00433"/>
    <x v="255"/>
    <x v="10"/>
    <s v="CUST0130"/>
    <x v="0"/>
    <s v="Durban"/>
    <s v="In-store"/>
    <x v="0"/>
    <x v="3"/>
    <n v="3"/>
    <n v="119.99"/>
    <n v="0"/>
    <s v="Mobile Payment"/>
    <n v="359.97"/>
    <n v="0"/>
    <n v="359.97"/>
  </r>
  <r>
    <s v="ORD00434"/>
    <x v="135"/>
    <x v="8"/>
    <s v="CUST0023"/>
    <x v="1"/>
    <s v="Pretoria"/>
    <s v="Online"/>
    <x v="4"/>
    <x v="10"/>
    <n v="4"/>
    <n v="129.99"/>
    <n v="0.1"/>
    <s v="Mobile Payment"/>
    <n v="519.96"/>
    <n v="52"/>
    <n v="467.96"/>
  </r>
  <r>
    <s v="ORD00435"/>
    <x v="256"/>
    <x v="7"/>
    <s v="CUST0010"/>
    <x v="4"/>
    <s v="Gqeberha"/>
    <s v="In-store"/>
    <x v="2"/>
    <x v="18"/>
    <n v="1"/>
    <n v="179.99"/>
    <n v="0.05"/>
    <s v="Card"/>
    <n v="179.99"/>
    <n v="9"/>
    <n v="170.99"/>
  </r>
  <r>
    <s v="ORD00436"/>
    <x v="160"/>
    <x v="8"/>
    <s v="CUST0244"/>
    <x v="2"/>
    <s v="Polokwane"/>
    <s v="Online"/>
    <x v="3"/>
    <x v="17"/>
    <n v="6"/>
    <n v="49.99"/>
    <n v="0.15"/>
    <s v="EFT"/>
    <n v="299.94"/>
    <n v="44.99"/>
    <n v="254.95"/>
  </r>
  <r>
    <s v="ORD00437"/>
    <x v="214"/>
    <x v="1"/>
    <s v="CUST0122"/>
    <x v="4"/>
    <s v="East London"/>
    <s v="Online"/>
    <x v="0"/>
    <x v="6"/>
    <n v="5"/>
    <n v="129.99"/>
    <n v="0.1"/>
    <s v="Mobile Payment"/>
    <n v="649.95000000000005"/>
    <n v="65"/>
    <n v="584.95000000000005"/>
  </r>
  <r>
    <s v="ORD00438"/>
    <x v="117"/>
    <x v="1"/>
    <s v="CUST0247"/>
    <x v="3"/>
    <s v="Cape Town"/>
    <s v="Online"/>
    <x v="0"/>
    <x v="0"/>
    <n v="3"/>
    <n v="89.99"/>
    <n v="0"/>
    <s v="EFT"/>
    <n v="269.97000000000003"/>
    <n v="0"/>
    <n v="269.97000000000003"/>
  </r>
  <r>
    <s v="ORD00439"/>
    <x v="77"/>
    <x v="7"/>
    <s v="CUST0028"/>
    <x v="3"/>
    <s v="Stellenbosch"/>
    <s v="Online"/>
    <x v="0"/>
    <x v="0"/>
    <n v="2"/>
    <n v="89.99"/>
    <n v="0.15"/>
    <s v="Cash"/>
    <n v="179.98"/>
    <n v="27"/>
    <n v="152.97999999999999"/>
  </r>
  <r>
    <s v="ORD00440"/>
    <x v="87"/>
    <x v="11"/>
    <s v="CUST0028"/>
    <x v="4"/>
    <s v="Gqeberha"/>
    <s v="Online"/>
    <x v="1"/>
    <x v="16"/>
    <n v="4"/>
    <n v="99.99"/>
    <n v="0"/>
    <s v="Card"/>
    <n v="399.96"/>
    <n v="0"/>
    <n v="399.96"/>
  </r>
  <r>
    <s v="ORD00441"/>
    <x v="49"/>
    <x v="5"/>
    <s v="CUST0035"/>
    <x v="4"/>
    <s v="East London"/>
    <s v="Online"/>
    <x v="3"/>
    <x v="11"/>
    <n v="6"/>
    <n v="399.99"/>
    <n v="0.1"/>
    <s v="Card"/>
    <n v="2399.94"/>
    <n v="239.99"/>
    <n v="2159.9499999999998"/>
  </r>
  <r>
    <s v="ORD00442"/>
    <x v="257"/>
    <x v="5"/>
    <s v="CUST0200"/>
    <x v="2"/>
    <s v="Tzaneen"/>
    <s v="In-store"/>
    <x v="3"/>
    <x v="11"/>
    <n v="5"/>
    <n v="399.99"/>
    <n v="0.05"/>
    <s v="Cash"/>
    <n v="1999.95"/>
    <n v="100"/>
    <n v="1899.95"/>
  </r>
  <r>
    <s v="ORD00443"/>
    <x v="137"/>
    <x v="8"/>
    <s v="CUST0156"/>
    <x v="4"/>
    <s v="East London"/>
    <s v="In-store"/>
    <x v="1"/>
    <x v="16"/>
    <n v="5"/>
    <n v="99.99"/>
    <n v="0.05"/>
    <s v="EFT"/>
    <n v="499.95"/>
    <n v="25"/>
    <n v="474.95"/>
  </r>
  <r>
    <s v="ORD00444"/>
    <x v="256"/>
    <x v="7"/>
    <s v="CUST0155"/>
    <x v="0"/>
    <s v="Pietermaritzburg"/>
    <s v="Online"/>
    <x v="4"/>
    <x v="7"/>
    <n v="2"/>
    <n v="299.99"/>
    <n v="0"/>
    <s v="EFT"/>
    <n v="599.98"/>
    <n v="0"/>
    <n v="599.98"/>
  </r>
  <r>
    <s v="ORD00445"/>
    <x v="258"/>
    <x v="4"/>
    <s v="CUST0176"/>
    <x v="3"/>
    <s v="Cape Town"/>
    <s v="Online"/>
    <x v="3"/>
    <x v="5"/>
    <n v="5"/>
    <n v="199.99"/>
    <n v="0.15"/>
    <s v="Cash"/>
    <n v="999.95"/>
    <n v="149.99"/>
    <n v="849.96"/>
  </r>
  <r>
    <s v="ORD00446"/>
    <x v="162"/>
    <x v="3"/>
    <s v="CUST0147"/>
    <x v="1"/>
    <s v="Pretoria"/>
    <s v="Online"/>
    <x v="1"/>
    <x v="13"/>
    <n v="5"/>
    <n v="139.99"/>
    <n v="0.05"/>
    <s v="EFT"/>
    <n v="699.95"/>
    <n v="35"/>
    <n v="664.95"/>
  </r>
  <r>
    <s v="ORD00447"/>
    <x v="188"/>
    <x v="6"/>
    <s v="CUST0014"/>
    <x v="2"/>
    <s v="Polokwane"/>
    <s v="In-store"/>
    <x v="4"/>
    <x v="10"/>
    <n v="1"/>
    <n v="129.99"/>
    <n v="0.05"/>
    <s v="Cash"/>
    <n v="129.99"/>
    <n v="6.5"/>
    <n v="123.49"/>
  </r>
  <r>
    <s v="ORD00448"/>
    <x v="252"/>
    <x v="2"/>
    <s v="CUST0201"/>
    <x v="0"/>
    <s v="Pietermaritzburg"/>
    <s v="Online"/>
    <x v="2"/>
    <x v="4"/>
    <n v="2"/>
    <n v="89.99"/>
    <n v="0"/>
    <s v="Cash"/>
    <n v="179.98"/>
    <n v="0"/>
    <n v="179.98"/>
  </r>
  <r>
    <s v="ORD00449"/>
    <x v="259"/>
    <x v="2"/>
    <s v="CUST0190"/>
    <x v="0"/>
    <s v="Pietermaritzburg"/>
    <s v="In-store"/>
    <x v="3"/>
    <x v="11"/>
    <n v="1"/>
    <n v="399.99"/>
    <n v="0.1"/>
    <s v="Mobile Payment"/>
    <n v="399.99"/>
    <n v="40"/>
    <n v="359.99"/>
  </r>
  <r>
    <s v="ORD00450"/>
    <x v="140"/>
    <x v="2"/>
    <s v="CUST0081"/>
    <x v="1"/>
    <s v="Pretoria"/>
    <s v="In-store"/>
    <x v="1"/>
    <x v="13"/>
    <n v="4"/>
    <n v="139.99"/>
    <n v="0.05"/>
    <s v="Card"/>
    <n v="559.96"/>
    <n v="28"/>
    <n v="531.96"/>
  </r>
  <r>
    <s v="ORD00451"/>
    <x v="186"/>
    <x v="2"/>
    <s v="CUST0182"/>
    <x v="2"/>
    <s v="Tzaneen"/>
    <s v="Online"/>
    <x v="2"/>
    <x v="4"/>
    <n v="2"/>
    <n v="89.99"/>
    <n v="0.15"/>
    <s v="Cash"/>
    <n v="179.98"/>
    <n v="27"/>
    <n v="152.97999999999999"/>
  </r>
  <r>
    <s v="ORD00452"/>
    <x v="171"/>
    <x v="9"/>
    <s v="CUST0247"/>
    <x v="4"/>
    <s v="Gqeberha"/>
    <s v="In-store"/>
    <x v="1"/>
    <x v="13"/>
    <n v="6"/>
    <n v="139.99"/>
    <n v="0"/>
    <s v="Card"/>
    <n v="839.94"/>
    <n v="0"/>
    <n v="839.94"/>
  </r>
  <r>
    <s v="ORD00453"/>
    <x v="101"/>
    <x v="6"/>
    <s v="CUST0042"/>
    <x v="4"/>
    <s v="East London"/>
    <s v="Online"/>
    <x v="4"/>
    <x v="10"/>
    <n v="5"/>
    <n v="129.99"/>
    <n v="0"/>
    <s v="Card"/>
    <n v="649.95000000000005"/>
    <n v="0"/>
    <n v="649.95000000000005"/>
  </r>
  <r>
    <s v="ORD00454"/>
    <x v="11"/>
    <x v="1"/>
    <s v="CUST0014"/>
    <x v="3"/>
    <s v="Cape Town"/>
    <s v="Online"/>
    <x v="2"/>
    <x v="12"/>
    <n v="2"/>
    <n v="109.99"/>
    <n v="0"/>
    <s v="Mobile Payment"/>
    <n v="219.98"/>
    <n v="0"/>
    <n v="219.98"/>
  </r>
  <r>
    <s v="ORD00455"/>
    <x v="235"/>
    <x v="9"/>
    <s v="CUST0245"/>
    <x v="1"/>
    <s v="Soweto"/>
    <s v="In-store"/>
    <x v="3"/>
    <x v="17"/>
    <n v="3"/>
    <n v="49.99"/>
    <n v="0.1"/>
    <s v="Card"/>
    <n v="149.97"/>
    <n v="15"/>
    <n v="134.97"/>
  </r>
  <r>
    <s v="ORD00456"/>
    <x v="132"/>
    <x v="9"/>
    <s v="CUST0227"/>
    <x v="4"/>
    <s v="East London"/>
    <s v="In-store"/>
    <x v="3"/>
    <x v="5"/>
    <n v="1"/>
    <n v="199.99"/>
    <n v="0"/>
    <s v="EFT"/>
    <n v="199.99"/>
    <n v="0"/>
    <n v="199.99"/>
  </r>
  <r>
    <s v="ORD00457"/>
    <x v="239"/>
    <x v="5"/>
    <s v="CUST0144"/>
    <x v="0"/>
    <s v="Durban"/>
    <s v="In-store"/>
    <x v="2"/>
    <x v="15"/>
    <n v="5"/>
    <n v="119.99"/>
    <n v="0.1"/>
    <s v="Card"/>
    <n v="599.95000000000005"/>
    <n v="60"/>
    <n v="539.95000000000005"/>
  </r>
  <r>
    <s v="ORD00458"/>
    <x v="144"/>
    <x v="11"/>
    <s v="CUST0098"/>
    <x v="3"/>
    <s v="Cape Town"/>
    <s v="In-store"/>
    <x v="2"/>
    <x v="12"/>
    <n v="1"/>
    <n v="109.99"/>
    <n v="0.15"/>
    <s v="Mobile Payment"/>
    <n v="109.99"/>
    <n v="16.5"/>
    <n v="93.49"/>
  </r>
  <r>
    <s v="ORD00459"/>
    <x v="257"/>
    <x v="5"/>
    <s v="CUST0115"/>
    <x v="1"/>
    <s v="Soweto"/>
    <s v="Online"/>
    <x v="2"/>
    <x v="15"/>
    <n v="3"/>
    <n v="119.99"/>
    <n v="0.1"/>
    <s v="Card"/>
    <n v="359.97"/>
    <n v="36"/>
    <n v="323.97000000000003"/>
  </r>
  <r>
    <s v="ORD00460"/>
    <x v="54"/>
    <x v="3"/>
    <s v="CUST0137"/>
    <x v="0"/>
    <s v="Durban"/>
    <s v="In-store"/>
    <x v="2"/>
    <x v="4"/>
    <n v="1"/>
    <n v="89.99"/>
    <n v="0"/>
    <s v="Card"/>
    <n v="89.99"/>
    <n v="0"/>
    <n v="89.99"/>
  </r>
  <r>
    <s v="ORD00461"/>
    <x v="37"/>
    <x v="2"/>
    <s v="CUST0225"/>
    <x v="4"/>
    <s v="Gqeberha"/>
    <s v="Online"/>
    <x v="1"/>
    <x v="2"/>
    <n v="2"/>
    <n v="104.99"/>
    <n v="0.1"/>
    <s v="Card"/>
    <n v="209.98"/>
    <n v="21"/>
    <n v="188.98"/>
  </r>
  <r>
    <s v="ORD00462"/>
    <x v="29"/>
    <x v="0"/>
    <s v="CUST0014"/>
    <x v="4"/>
    <s v="East London"/>
    <s v="In-store"/>
    <x v="1"/>
    <x v="16"/>
    <n v="1"/>
    <n v="99.99"/>
    <n v="0"/>
    <s v="EFT"/>
    <n v="99.99"/>
    <n v="0"/>
    <n v="99.99"/>
  </r>
  <r>
    <s v="ORD00463"/>
    <x v="139"/>
    <x v="7"/>
    <s v="CUST0116"/>
    <x v="2"/>
    <s v="Polokwane"/>
    <s v="Online"/>
    <x v="3"/>
    <x v="11"/>
    <n v="3"/>
    <n v="399.99"/>
    <n v="0.05"/>
    <s v="Mobile Payment"/>
    <n v="1199.97"/>
    <n v="60"/>
    <n v="1139.97"/>
  </r>
  <r>
    <s v="ORD00464"/>
    <x v="39"/>
    <x v="1"/>
    <s v="CUST0185"/>
    <x v="4"/>
    <s v="Gqeberha"/>
    <s v="In-store"/>
    <x v="2"/>
    <x v="18"/>
    <n v="5"/>
    <n v="179.99"/>
    <n v="0"/>
    <s v="Card"/>
    <n v="899.95"/>
    <n v="0"/>
    <n v="899.95"/>
  </r>
  <r>
    <s v="ORD00465"/>
    <x v="44"/>
    <x v="11"/>
    <s v="CUST0156"/>
    <x v="2"/>
    <s v="Polokwane"/>
    <s v="In-store"/>
    <x v="0"/>
    <x v="9"/>
    <n v="3"/>
    <n v="149.99"/>
    <n v="0.15"/>
    <s v="EFT"/>
    <n v="449.97"/>
    <n v="67.5"/>
    <n v="382.47"/>
  </r>
  <r>
    <s v="ORD00466"/>
    <x v="260"/>
    <x v="3"/>
    <s v="CUST0057"/>
    <x v="4"/>
    <s v="Gqeberha"/>
    <s v="In-store"/>
    <x v="4"/>
    <x v="7"/>
    <n v="4"/>
    <n v="299.99"/>
    <n v="0"/>
    <s v="Mobile Payment"/>
    <n v="1199.96"/>
    <n v="0"/>
    <n v="1199.96"/>
  </r>
  <r>
    <s v="ORD00467"/>
    <x v="261"/>
    <x v="1"/>
    <s v="CUST0096"/>
    <x v="3"/>
    <s v="Stellenbosch"/>
    <s v="In-store"/>
    <x v="3"/>
    <x v="17"/>
    <n v="6"/>
    <n v="49.99"/>
    <n v="0.15"/>
    <s v="Cash"/>
    <n v="299.94"/>
    <n v="44.99"/>
    <n v="254.95"/>
  </r>
  <r>
    <s v="ORD00468"/>
    <x v="54"/>
    <x v="3"/>
    <s v="CUST0141"/>
    <x v="1"/>
    <s v="Soweto"/>
    <s v="In-store"/>
    <x v="0"/>
    <x v="0"/>
    <n v="5"/>
    <n v="89.99"/>
    <n v="0.05"/>
    <s v="EFT"/>
    <n v="449.95"/>
    <n v="22.5"/>
    <n v="427.45"/>
  </r>
  <r>
    <s v="ORD00469"/>
    <x v="125"/>
    <x v="6"/>
    <s v="CUST0042"/>
    <x v="3"/>
    <s v="Stellenbosch"/>
    <s v="In-store"/>
    <x v="1"/>
    <x v="13"/>
    <n v="6"/>
    <n v="139.99"/>
    <n v="0.1"/>
    <s v="Cash"/>
    <n v="839.94"/>
    <n v="83.99"/>
    <n v="755.95"/>
  </r>
  <r>
    <s v="ORD00470"/>
    <x v="262"/>
    <x v="3"/>
    <s v="CUST0219"/>
    <x v="3"/>
    <s v="Cape Town"/>
    <s v="In-store"/>
    <x v="3"/>
    <x v="17"/>
    <n v="2"/>
    <n v="49.99"/>
    <n v="0.15"/>
    <s v="Mobile Payment"/>
    <n v="99.98"/>
    <n v="15"/>
    <n v="84.98"/>
  </r>
  <r>
    <s v="ORD00471"/>
    <x v="118"/>
    <x v="9"/>
    <s v="CUST0186"/>
    <x v="0"/>
    <s v="Durban"/>
    <s v="Online"/>
    <x v="3"/>
    <x v="11"/>
    <n v="3"/>
    <n v="399.99"/>
    <n v="0"/>
    <s v="EFT"/>
    <n v="1199.97"/>
    <n v="0"/>
    <n v="1199.97"/>
  </r>
  <r>
    <s v="ORD00472"/>
    <x v="30"/>
    <x v="0"/>
    <s v="CUST0231"/>
    <x v="3"/>
    <s v="Cape Town"/>
    <s v="In-store"/>
    <x v="2"/>
    <x v="4"/>
    <n v="3"/>
    <n v="89.99"/>
    <n v="0.1"/>
    <s v="EFT"/>
    <n v="269.97000000000003"/>
    <n v="27"/>
    <n v="242.97"/>
  </r>
  <r>
    <s v="ORD00473"/>
    <x v="153"/>
    <x v="6"/>
    <s v="CUST0145"/>
    <x v="0"/>
    <s v="Pietermaritzburg"/>
    <s v="Online"/>
    <x v="4"/>
    <x v="7"/>
    <n v="6"/>
    <n v="299.99"/>
    <n v="0.1"/>
    <s v="EFT"/>
    <n v="1799.94"/>
    <n v="179.99"/>
    <n v="1619.95"/>
  </r>
  <r>
    <s v="ORD00474"/>
    <x v="192"/>
    <x v="2"/>
    <s v="CUST0190"/>
    <x v="1"/>
    <s v="Pretoria"/>
    <s v="Online"/>
    <x v="4"/>
    <x v="10"/>
    <n v="2"/>
    <n v="129.99"/>
    <n v="0"/>
    <s v="EFT"/>
    <n v="259.98"/>
    <n v="0"/>
    <n v="259.98"/>
  </r>
  <r>
    <s v="ORD00475"/>
    <x v="35"/>
    <x v="7"/>
    <s v="CUST0199"/>
    <x v="0"/>
    <s v="Pietermaritzburg"/>
    <s v="Online"/>
    <x v="2"/>
    <x v="4"/>
    <n v="4"/>
    <n v="89.99"/>
    <n v="0.05"/>
    <s v="Mobile Payment"/>
    <n v="359.96"/>
    <n v="18"/>
    <n v="341.96"/>
  </r>
  <r>
    <s v="ORD00476"/>
    <x v="54"/>
    <x v="3"/>
    <s v="CUST0051"/>
    <x v="3"/>
    <s v="Cape Town"/>
    <s v="Online"/>
    <x v="3"/>
    <x v="11"/>
    <n v="3"/>
    <n v="399.99"/>
    <n v="0"/>
    <s v="Card"/>
    <n v="1199.97"/>
    <n v="0"/>
    <n v="1199.97"/>
  </r>
  <r>
    <s v="ORD00477"/>
    <x v="263"/>
    <x v="7"/>
    <s v="CUST0197"/>
    <x v="2"/>
    <s v="Polokwane"/>
    <s v="In-store"/>
    <x v="0"/>
    <x v="0"/>
    <n v="5"/>
    <n v="89.99"/>
    <n v="0.1"/>
    <s v="Card"/>
    <n v="449.95"/>
    <n v="45"/>
    <n v="404.95"/>
  </r>
  <r>
    <s v="ORD00478"/>
    <x v="264"/>
    <x v="7"/>
    <s v="CUST0101"/>
    <x v="2"/>
    <s v="Tzaneen"/>
    <s v="In-store"/>
    <x v="3"/>
    <x v="17"/>
    <n v="6"/>
    <n v="49.99"/>
    <n v="0"/>
    <s v="EFT"/>
    <n v="299.94"/>
    <n v="0"/>
    <n v="299.94"/>
  </r>
  <r>
    <s v="ORD00479"/>
    <x v="265"/>
    <x v="5"/>
    <s v="CUST0003"/>
    <x v="2"/>
    <s v="Polokwane"/>
    <s v="In-store"/>
    <x v="1"/>
    <x v="1"/>
    <n v="4"/>
    <n v="79.989999999999995"/>
    <n v="0"/>
    <s v="Cash"/>
    <n v="319.95999999999998"/>
    <n v="0"/>
    <n v="319.95999999999998"/>
  </r>
  <r>
    <s v="ORD00480"/>
    <x v="207"/>
    <x v="3"/>
    <s v="CUST0169"/>
    <x v="4"/>
    <s v="Gqeberha"/>
    <s v="In-store"/>
    <x v="3"/>
    <x v="5"/>
    <n v="2"/>
    <n v="199.99"/>
    <n v="0.1"/>
    <s v="Mobile Payment"/>
    <n v="399.98"/>
    <n v="40"/>
    <n v="359.98"/>
  </r>
  <r>
    <s v="ORD00481"/>
    <x v="15"/>
    <x v="4"/>
    <s v="CUST0095"/>
    <x v="3"/>
    <s v="Stellenbosch"/>
    <s v="In-store"/>
    <x v="2"/>
    <x v="18"/>
    <n v="2"/>
    <n v="179.99"/>
    <n v="0"/>
    <s v="Card"/>
    <n v="359.98"/>
    <n v="0"/>
    <n v="359.98"/>
  </r>
  <r>
    <s v="ORD00482"/>
    <x v="250"/>
    <x v="10"/>
    <s v="CUST0167"/>
    <x v="4"/>
    <s v="East London"/>
    <s v="Online"/>
    <x v="1"/>
    <x v="13"/>
    <n v="4"/>
    <n v="139.99"/>
    <n v="0"/>
    <s v="Card"/>
    <n v="559.96"/>
    <n v="0"/>
    <n v="559.96"/>
  </r>
  <r>
    <s v="ORD00483"/>
    <x v="179"/>
    <x v="7"/>
    <s v="CUST0094"/>
    <x v="0"/>
    <s v="Durban"/>
    <s v="In-store"/>
    <x v="3"/>
    <x v="17"/>
    <n v="4"/>
    <n v="49.99"/>
    <n v="0.15"/>
    <s v="EFT"/>
    <n v="199.96"/>
    <n v="29.99"/>
    <n v="169.97"/>
  </r>
  <r>
    <s v="ORD00484"/>
    <x v="205"/>
    <x v="5"/>
    <s v="CUST0203"/>
    <x v="2"/>
    <s v="Tzaneen"/>
    <s v="Online"/>
    <x v="4"/>
    <x v="10"/>
    <n v="3"/>
    <n v="129.99"/>
    <n v="0"/>
    <s v="Card"/>
    <n v="389.97"/>
    <n v="0"/>
    <n v="389.97"/>
  </r>
  <r>
    <s v="ORD00485"/>
    <x v="79"/>
    <x v="5"/>
    <s v="CUST0165"/>
    <x v="4"/>
    <s v="Gqeberha"/>
    <s v="Online"/>
    <x v="3"/>
    <x v="5"/>
    <n v="2"/>
    <n v="199.99"/>
    <n v="0"/>
    <s v="Cash"/>
    <n v="399.98"/>
    <n v="0"/>
    <n v="399.98"/>
  </r>
  <r>
    <s v="ORD00486"/>
    <x v="266"/>
    <x v="6"/>
    <s v="CUST0170"/>
    <x v="3"/>
    <s v="Stellenbosch"/>
    <s v="In-store"/>
    <x v="1"/>
    <x v="2"/>
    <n v="5"/>
    <n v="104.99"/>
    <n v="0.15"/>
    <s v="Mobile Payment"/>
    <n v="524.95000000000005"/>
    <n v="78.739999999999995"/>
    <n v="446.21"/>
  </r>
  <r>
    <s v="ORD00487"/>
    <x v="267"/>
    <x v="3"/>
    <s v="CUST0042"/>
    <x v="4"/>
    <s v="East London"/>
    <s v="Online"/>
    <x v="2"/>
    <x v="18"/>
    <n v="4"/>
    <n v="179.99"/>
    <n v="0"/>
    <s v="Card"/>
    <n v="719.96"/>
    <n v="0"/>
    <n v="719.96"/>
  </r>
  <r>
    <s v="ORD00488"/>
    <x v="242"/>
    <x v="5"/>
    <s v="CUST0011"/>
    <x v="3"/>
    <s v="Cape Town"/>
    <s v="In-store"/>
    <x v="1"/>
    <x v="16"/>
    <n v="2"/>
    <n v="99.99"/>
    <n v="0.15"/>
    <s v="Card"/>
    <n v="199.98"/>
    <n v="30"/>
    <n v="169.98"/>
  </r>
  <r>
    <s v="ORD00489"/>
    <x v="69"/>
    <x v="1"/>
    <s v="CUST0005"/>
    <x v="3"/>
    <s v="Stellenbosch"/>
    <s v="Online"/>
    <x v="1"/>
    <x v="13"/>
    <n v="5"/>
    <n v="139.99"/>
    <n v="0.1"/>
    <s v="Card"/>
    <n v="699.95"/>
    <n v="70"/>
    <n v="629.95000000000005"/>
  </r>
  <r>
    <s v="ORD00490"/>
    <x v="235"/>
    <x v="9"/>
    <s v="CUST0213"/>
    <x v="2"/>
    <s v="Tzaneen"/>
    <s v="Online"/>
    <x v="1"/>
    <x v="1"/>
    <n v="4"/>
    <n v="79.989999999999995"/>
    <n v="0"/>
    <s v="Cash"/>
    <n v="319.95999999999998"/>
    <n v="0"/>
    <n v="319.95999999999998"/>
  </r>
  <r>
    <s v="ORD00491"/>
    <x v="213"/>
    <x v="2"/>
    <s v="CUST0088"/>
    <x v="2"/>
    <s v="Tzaneen"/>
    <s v="Online"/>
    <x v="3"/>
    <x v="5"/>
    <n v="2"/>
    <n v="199.99"/>
    <n v="0.15"/>
    <s v="Card"/>
    <n v="399.98"/>
    <n v="60"/>
    <n v="339.98"/>
  </r>
  <r>
    <s v="ORD00492"/>
    <x v="229"/>
    <x v="9"/>
    <s v="CUST0134"/>
    <x v="4"/>
    <s v="Gqeberha"/>
    <s v="Online"/>
    <x v="1"/>
    <x v="1"/>
    <n v="1"/>
    <n v="79.989999999999995"/>
    <n v="0"/>
    <s v="Cash"/>
    <n v="79.989999999999995"/>
    <n v="0"/>
    <n v="79.989999999999995"/>
  </r>
  <r>
    <s v="ORD00493"/>
    <x v="40"/>
    <x v="10"/>
    <s v="CUST0225"/>
    <x v="3"/>
    <s v="Stellenbosch"/>
    <s v="In-store"/>
    <x v="3"/>
    <x v="11"/>
    <n v="5"/>
    <n v="399.99"/>
    <n v="0.1"/>
    <s v="Card"/>
    <n v="1999.95"/>
    <n v="200"/>
    <n v="1799.95"/>
  </r>
  <r>
    <s v="ORD00494"/>
    <x v="112"/>
    <x v="8"/>
    <s v="CUST0134"/>
    <x v="3"/>
    <s v="Cape Town"/>
    <s v="Online"/>
    <x v="4"/>
    <x v="14"/>
    <n v="6"/>
    <n v="99.99"/>
    <n v="0.15"/>
    <s v="EFT"/>
    <n v="599.94000000000005"/>
    <n v="89.99"/>
    <n v="509.95"/>
  </r>
  <r>
    <s v="ORD00495"/>
    <x v="102"/>
    <x v="3"/>
    <s v="CUST0206"/>
    <x v="3"/>
    <s v="Stellenbosch"/>
    <s v="In-store"/>
    <x v="0"/>
    <x v="3"/>
    <n v="4"/>
    <n v="119.99"/>
    <n v="0"/>
    <s v="Mobile Payment"/>
    <n v="479.96"/>
    <n v="0"/>
    <n v="479.96"/>
  </r>
  <r>
    <s v="ORD00496"/>
    <x v="182"/>
    <x v="1"/>
    <s v="CUST0225"/>
    <x v="4"/>
    <s v="Gqeberha"/>
    <s v="Online"/>
    <x v="1"/>
    <x v="13"/>
    <n v="1"/>
    <n v="139.99"/>
    <n v="0"/>
    <s v="EFT"/>
    <n v="139.99"/>
    <n v="0"/>
    <n v="139.99"/>
  </r>
  <r>
    <s v="ORD00497"/>
    <x v="50"/>
    <x v="5"/>
    <s v="CUST0002"/>
    <x v="1"/>
    <s v="Soweto"/>
    <s v="Online"/>
    <x v="1"/>
    <x v="16"/>
    <n v="5"/>
    <n v="99.99"/>
    <n v="0"/>
    <s v="Cash"/>
    <n v="499.95"/>
    <n v="0"/>
    <n v="499.95"/>
  </r>
  <r>
    <s v="ORD00498"/>
    <x v="122"/>
    <x v="1"/>
    <s v="CUST0150"/>
    <x v="0"/>
    <s v="Durban"/>
    <s v="Online"/>
    <x v="2"/>
    <x v="12"/>
    <n v="2"/>
    <n v="109.99"/>
    <n v="0.05"/>
    <s v="EFT"/>
    <n v="219.98"/>
    <n v="11"/>
    <n v="208.98"/>
  </r>
  <r>
    <s v="ORD00499"/>
    <x v="165"/>
    <x v="2"/>
    <s v="CUST0102"/>
    <x v="2"/>
    <s v="Tzaneen"/>
    <s v="In-store"/>
    <x v="3"/>
    <x v="8"/>
    <n v="5"/>
    <n v="249.99"/>
    <n v="0"/>
    <s v="Mobile Payment"/>
    <n v="1249.95"/>
    <n v="0"/>
    <n v="1249.95"/>
  </r>
  <r>
    <s v="ORD00500"/>
    <x v="63"/>
    <x v="5"/>
    <s v="CUST0065"/>
    <x v="3"/>
    <s v="Stellenbosch"/>
    <s v="Online"/>
    <x v="3"/>
    <x v="8"/>
    <n v="5"/>
    <n v="249.99"/>
    <n v="0.1"/>
    <s v="EFT"/>
    <n v="1249.95"/>
    <n v="125"/>
    <n v="1124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7389E-05BA-497F-A276-C29F3CFFF65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B9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14">
        <item x="3"/>
        <item h="1" f="1" x="5"/>
        <item h="1" f="1" x="6"/>
        <item h="1" f="1" x="7"/>
        <item h="1" f="1" x="8"/>
        <item h="1" f="1" x="9"/>
        <item h="1" f="1" x="10"/>
        <item h="1" f="1" x="11"/>
        <item h="1" f="1" x="12"/>
        <item x="4"/>
        <item x="1"/>
        <item x="2"/>
        <item x="0"/>
        <item t="default"/>
      </items>
    </pivotField>
    <pivotField showAll="0">
      <items count="38">
        <item x="12"/>
        <item x="14"/>
        <item x="10"/>
        <item x="2"/>
        <item x="1"/>
        <item x="0"/>
        <item x="18"/>
        <item x="3"/>
        <item x="17"/>
        <item x="13"/>
        <item x="11"/>
        <item x="8"/>
        <item x="4"/>
        <item x="15"/>
        <item x="6"/>
        <item x="7"/>
        <item x="16"/>
        <item x="5"/>
        <item x="9"/>
        <item f="1" x="19"/>
        <item f="1" x="20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f="1" x="33"/>
        <item f="1" x="34"/>
        <item f="1" x="35"/>
        <item f="1" x="36"/>
        <item t="default"/>
      </items>
    </pivotField>
    <pivotField numFmtId="165" showAll="0"/>
    <pivotField numFmtId="164" showAll="0"/>
    <pivotField numFmtId="166" showAll="0"/>
    <pivotField showAll="0"/>
    <pivotField numFmtId="164" showAll="0"/>
    <pivotField numFmtId="164" showAll="0"/>
    <pivotField dataField="1" numFmtId="164" showAll="0"/>
  </pivotFields>
  <rowFields count="1">
    <field x="7"/>
  </rowFields>
  <rowItems count="6">
    <i>
      <x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_Sales_ZAR" fld="15" baseField="0" baseItem="0" numFmtId="164"/>
  </dataFields>
  <formats count="1">
    <format dxfId="0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35EBC-1CFF-45FA-BA41-69E9A1503D0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3:B23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showAll="0">
      <items count="14">
        <item x="3"/>
        <item x="4"/>
        <item x="1"/>
        <item x="2"/>
        <item x="0"/>
        <item f="1" x="5"/>
        <item f="1" x="6"/>
        <item f="1" x="7"/>
        <item f="1" x="8"/>
        <item f="1" x="9"/>
        <item f="1" x="10"/>
        <item f="1" x="11"/>
        <item f="1" x="12"/>
        <item t="default"/>
      </items>
    </pivotField>
    <pivotField axis="axisRow" showAll="0">
      <items count="38">
        <item x="12"/>
        <item h="1" f="1" x="19"/>
        <item h="1" f="1" x="20"/>
        <item h="1" f="1" x="21"/>
        <item h="1" f="1" x="22"/>
        <item h="1" f="1" x="23"/>
        <item h="1" f="1" x="24"/>
        <item h="1" f="1" x="25"/>
        <item h="1" f="1" x="26"/>
        <item h="1" f="1" x="27"/>
        <item h="1" f="1" x="28"/>
        <item h="1" f="1" x="29"/>
        <item h="1" f="1" x="30"/>
        <item h="1" f="1" x="31"/>
        <item h="1" f="1" x="32"/>
        <item h="1" f="1" x="33"/>
        <item h="1" f="1" x="34"/>
        <item h="1" f="1" x="35"/>
        <item h="1" f="1" x="36"/>
        <item x="14"/>
        <item x="10"/>
        <item x="2"/>
        <item x="1"/>
        <item x="0"/>
        <item x="18"/>
        <item x="3"/>
        <item x="17"/>
        <item x="13"/>
        <item x="11"/>
        <item x="8"/>
        <item x="4"/>
        <item x="15"/>
        <item x="6"/>
        <item x="7"/>
        <item x="16"/>
        <item x="5"/>
        <item x="9"/>
        <item t="default"/>
      </items>
    </pivotField>
    <pivotField numFmtId="165" showAll="0"/>
    <pivotField numFmtId="164" showAll="0"/>
    <pivotField numFmtId="166" showAll="0"/>
    <pivotField showAll="0"/>
    <pivotField numFmtId="164" showAll="0"/>
    <pivotField numFmtId="164" showAll="0"/>
    <pivotField dataField="1" numFmtId="164" showAll="0"/>
  </pivotFields>
  <rowFields count="1">
    <field x="8"/>
  </rowFields>
  <rowItems count="20">
    <i>
      <x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Net_Sales_ZAR" fld="15" baseField="0" baseItem="0" numFmtId="164"/>
  </dataFields>
  <formats count="1">
    <format dxfId="1">
      <pivotArea grandRow="1"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315C6-3907-49FB-BD26-D386C181A25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9" firstHeaderRow="1" firstDataRow="1" firstDataCol="1"/>
  <pivotFields count="16">
    <pivotField showAll="0"/>
    <pivotField numFmtId="164"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>
      <items count="14">
        <item x="3"/>
        <item x="4"/>
        <item x="1"/>
        <item x="2"/>
        <item x="0"/>
        <item f="1" x="5"/>
        <item f="1" x="6"/>
        <item f="1" x="7"/>
        <item f="1" x="8"/>
        <item f="1" x="9"/>
        <item f="1" x="10"/>
        <item f="1" x="11"/>
        <item f="1" x="12"/>
        <item t="default"/>
      </items>
    </pivotField>
    <pivotField showAll="0">
      <items count="38">
        <item x="12"/>
        <item x="14"/>
        <item x="10"/>
        <item x="2"/>
        <item x="1"/>
        <item x="0"/>
        <item x="18"/>
        <item x="3"/>
        <item x="17"/>
        <item x="13"/>
        <item x="11"/>
        <item x="8"/>
        <item x="4"/>
        <item x="15"/>
        <item x="6"/>
        <item x="7"/>
        <item x="16"/>
        <item x="5"/>
        <item x="9"/>
        <item f="1" x="19"/>
        <item f="1" x="20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f="1" x="33"/>
        <item f="1" x="34"/>
        <item f="1" x="35"/>
        <item f="1" x="36"/>
        <item t="default"/>
      </items>
    </pivotField>
    <pivotField numFmtId="165" showAll="0"/>
    <pivotField numFmtId="164" showAll="0"/>
    <pivotField numFmtId="166"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_ZAR" fld="15" baseField="0" baseItem="0" numFmtId="164"/>
  </dataFields>
  <formats count="1">
    <format dxfId="2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B71D3-91C8-4640-88F8-C7BFFC2047C2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3:B16" firstHeaderRow="1" firstDataRow="1" firstDataCol="1"/>
  <pivotFields count="16">
    <pivotField showAll="0"/>
    <pivotField numFmtId="164" showAll="0">
      <items count="537">
        <item m="1" x="480"/>
        <item m="1" x="515"/>
        <item m="1" x="466"/>
        <item m="1" x="519"/>
        <item m="1" x="336"/>
        <item m="1" x="327"/>
        <item m="1" x="502"/>
        <item m="1" x="511"/>
        <item m="1" x="308"/>
        <item m="1" x="518"/>
        <item m="1" x="381"/>
        <item m="1" x="409"/>
        <item m="1" x="425"/>
        <item m="1" x="523"/>
        <item m="1" x="436"/>
        <item m="1" x="451"/>
        <item m="1" x="389"/>
        <item m="1" x="485"/>
        <item m="1" x="443"/>
        <item m="1" x="320"/>
        <item m="1" x="276"/>
        <item m="1" x="414"/>
        <item m="1" x="298"/>
        <item m="1" x="286"/>
        <item m="1" x="297"/>
        <item m="1" x="459"/>
        <item m="1" x="357"/>
        <item m="1" x="295"/>
        <item m="1" x="282"/>
        <item m="1" x="438"/>
        <item m="1" x="291"/>
        <item m="1" x="479"/>
        <item m="1" x="271"/>
        <item m="1" x="273"/>
        <item m="1" x="268"/>
        <item m="1" x="360"/>
        <item m="1" x="289"/>
        <item m="1" x="379"/>
        <item m="1" x="350"/>
        <item m="1" x="534"/>
        <item m="1" x="334"/>
        <item m="1" x="349"/>
        <item m="1" x="399"/>
        <item m="1" x="369"/>
        <item m="1" x="426"/>
        <item m="1" x="393"/>
        <item m="1" x="376"/>
        <item m="1" x="456"/>
        <item m="1" x="458"/>
        <item m="1" x="421"/>
        <item m="1" x="300"/>
        <item m="1" x="280"/>
        <item m="1" x="301"/>
        <item m="1" x="441"/>
        <item m="1" x="292"/>
        <item m="1" x="489"/>
        <item m="1" x="452"/>
        <item m="1" x="304"/>
        <item m="1" x="395"/>
        <item m="1" x="338"/>
        <item m="1" x="439"/>
        <item m="1" x="309"/>
        <item m="1" x="442"/>
        <item m="1" x="420"/>
        <item m="1" x="386"/>
        <item m="1" x="418"/>
        <item m="1" x="497"/>
        <item m="1" x="445"/>
        <item m="1" x="368"/>
        <item m="1" x="471"/>
        <item m="1" x="446"/>
        <item m="1" x="503"/>
        <item m="1" x="400"/>
        <item m="1" x="448"/>
        <item m="1" x="306"/>
        <item m="1" x="449"/>
        <item m="1" x="341"/>
        <item m="1" x="401"/>
        <item m="1" x="353"/>
        <item m="1" x="464"/>
        <item m="1" x="490"/>
        <item m="1" x="277"/>
        <item m="1" x="316"/>
        <item m="1" x="465"/>
        <item m="1" x="410"/>
        <item m="1" x="358"/>
        <item m="1" x="496"/>
        <item m="1" x="283"/>
        <item m="1" x="274"/>
        <item m="1" x="488"/>
        <item m="1" x="517"/>
        <item m="1" x="435"/>
        <item m="1" x="361"/>
        <item m="1" x="335"/>
        <item m="1" x="365"/>
        <item m="1" x="391"/>
        <item m="1" x="396"/>
        <item m="1" x="373"/>
        <item m="1" x="526"/>
        <item m="1" x="311"/>
        <item m="1" x="429"/>
        <item m="1" x="312"/>
        <item m="1" x="388"/>
        <item m="1" x="495"/>
        <item m="1" x="394"/>
        <item m="1" x="493"/>
        <item m="1" x="521"/>
        <item m="1" x="505"/>
        <item m="1" x="319"/>
        <item m="1" x="412"/>
        <item m="1" x="504"/>
        <item m="1" x="463"/>
        <item m="1" x="423"/>
        <item m="1" x="310"/>
        <item m="1" x="453"/>
        <item m="1" x="402"/>
        <item m="1" x="323"/>
        <item m="1" x="355"/>
        <item m="1" x="359"/>
        <item m="1" x="477"/>
        <item m="1" x="374"/>
        <item m="1" x="288"/>
        <item m="1" x="498"/>
        <item m="1" x="303"/>
        <item m="1" x="362"/>
        <item m="1" x="532"/>
        <item m="1" x="366"/>
        <item m="1" x="492"/>
        <item m="1" x="284"/>
        <item m="1" x="377"/>
        <item m="1" x="447"/>
        <item m="1" x="325"/>
        <item m="1" x="514"/>
        <item m="1" x="354"/>
        <item m="1" x="407"/>
        <item m="1" x="321"/>
        <item m="1" x="416"/>
        <item m="1" x="422"/>
        <item m="1" x="346"/>
        <item m="1" x="516"/>
        <item m="1" x="531"/>
        <item m="1" x="437"/>
        <item m="1" x="345"/>
        <item m="1" x="524"/>
        <item m="1" x="352"/>
        <item m="1" x="339"/>
        <item m="1" x="405"/>
        <item m="1" x="467"/>
        <item m="1" x="378"/>
        <item m="1" x="470"/>
        <item m="1" x="329"/>
        <item m="1" x="380"/>
        <item m="1" x="330"/>
        <item m="1" x="487"/>
        <item m="1" x="411"/>
        <item m="1" x="476"/>
        <item m="1" x="313"/>
        <item m="1" x="413"/>
        <item m="1" x="509"/>
        <item m="1" x="403"/>
        <item m="1" x="415"/>
        <item m="1" x="469"/>
        <item m="1" x="440"/>
        <item m="1" x="428"/>
        <item m="1" x="383"/>
        <item m="1" x="290"/>
        <item m="1" x="332"/>
        <item m="1" x="326"/>
        <item m="1" x="522"/>
        <item m="1" x="351"/>
        <item m="1" x="372"/>
        <item m="1" x="507"/>
        <item m="1" x="331"/>
        <item m="1" x="473"/>
        <item m="1" x="281"/>
        <item m="1" x="457"/>
        <item m="1" x="278"/>
        <item m="1" x="424"/>
        <item m="1" x="501"/>
        <item m="1" x="513"/>
        <item m="1" x="533"/>
        <item m="1" x="317"/>
        <item m="1" x="525"/>
        <item m="1" x="510"/>
        <item m="1" x="347"/>
        <item m="1" x="508"/>
        <item m="1" x="318"/>
        <item m="1" x="384"/>
        <item m="1" x="432"/>
        <item m="1" x="299"/>
        <item m="1" x="333"/>
        <item m="1" x="528"/>
        <item m="1" x="486"/>
        <item m="1" x="322"/>
        <item m="1" x="344"/>
        <item m="1" x="294"/>
        <item m="1" x="342"/>
        <item m="1" x="302"/>
        <item m="1" x="444"/>
        <item m="1" x="499"/>
        <item m="1" x="272"/>
        <item m="1" x="285"/>
        <item m="1" x="293"/>
        <item m="1" x="392"/>
        <item m="1" x="417"/>
        <item m="1" x="324"/>
        <item m="1" x="475"/>
        <item m="1" x="530"/>
        <item m="1" x="343"/>
        <item m="1" x="434"/>
        <item m="1" x="406"/>
        <item m="1" x="287"/>
        <item m="1" x="430"/>
        <item m="1" x="512"/>
        <item m="1" x="472"/>
        <item m="1" x="370"/>
        <item m="1" x="535"/>
        <item m="1" x="483"/>
        <item m="1" x="279"/>
        <item m="1" x="450"/>
        <item m="1" x="482"/>
        <item m="1" x="269"/>
        <item m="1" x="398"/>
        <item m="1" x="506"/>
        <item m="1" x="404"/>
        <item m="1" x="431"/>
        <item m="1" x="356"/>
        <item m="1" x="340"/>
        <item m="1" x="494"/>
        <item m="1" x="427"/>
        <item m="1" x="348"/>
        <item m="1" x="328"/>
        <item m="1" x="478"/>
        <item m="1" x="385"/>
        <item m="1" x="363"/>
        <item m="1" x="337"/>
        <item m="1" x="275"/>
        <item m="1" x="307"/>
        <item m="1" x="387"/>
        <item m="1" x="500"/>
        <item m="1" x="529"/>
        <item m="1" x="455"/>
        <item m="1" x="390"/>
        <item m="1" x="474"/>
        <item m="1" x="491"/>
        <item m="1" x="371"/>
        <item m="1" x="462"/>
        <item m="1" x="367"/>
        <item m="1" x="419"/>
        <item m="1" x="296"/>
        <item m="1" x="314"/>
        <item m="1" x="527"/>
        <item m="1" x="461"/>
        <item m="1" x="397"/>
        <item m="1" x="433"/>
        <item m="1" x="484"/>
        <item m="1" x="408"/>
        <item m="1" x="481"/>
        <item m="1" x="315"/>
        <item m="1" x="520"/>
        <item m="1" x="468"/>
        <item m="1" x="375"/>
        <item m="1" x="364"/>
        <item m="1" x="270"/>
        <item m="1" x="305"/>
        <item m="1" x="454"/>
        <item m="1" x="382"/>
        <item m="1" x="4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axis="axisRow" showAll="0">
      <items count="13">
        <item x="10"/>
        <item x="0"/>
        <item x="6"/>
        <item x="9"/>
        <item x="4"/>
        <item x="11"/>
        <item x="7"/>
        <item x="8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>
      <items count="14">
        <item x="3"/>
        <item x="4"/>
        <item x="1"/>
        <item x="2"/>
        <item x="0"/>
        <item f="1" x="5"/>
        <item f="1" x="6"/>
        <item f="1" x="7"/>
        <item f="1" x="8"/>
        <item f="1" x="9"/>
        <item f="1" x="10"/>
        <item f="1" x="11"/>
        <item f="1" x="12"/>
        <item t="default"/>
      </items>
    </pivotField>
    <pivotField showAll="0">
      <items count="38">
        <item x="12"/>
        <item x="14"/>
        <item x="10"/>
        <item x="2"/>
        <item x="1"/>
        <item x="0"/>
        <item x="18"/>
        <item x="3"/>
        <item x="17"/>
        <item x="13"/>
        <item x="11"/>
        <item x="8"/>
        <item x="4"/>
        <item x="15"/>
        <item x="6"/>
        <item x="7"/>
        <item x="16"/>
        <item x="5"/>
        <item x="9"/>
        <item f="1" x="19"/>
        <item f="1" x="20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f="1" x="33"/>
        <item f="1" x="34"/>
        <item f="1" x="35"/>
        <item f="1" x="36"/>
        <item t="default"/>
      </items>
    </pivotField>
    <pivotField numFmtId="165" showAll="0"/>
    <pivotField numFmtId="164" showAll="0"/>
    <pivotField numFmtId="166"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_Sales_ZAR" fld="15" baseField="0" baseItem="0" numFmtId="164"/>
  </dataFields>
  <formats count="1">
    <format dxfId="4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04368-55EE-4793-806A-12647F4B8F03}" name="salesdata" displayName="salesdata" ref="A1:P501" totalsRowShown="0" headerRowDxfId="26">
  <autoFilter ref="A1:P501" xr:uid="{06B8CCE8-9066-458D-B7ED-890DCBC723C9}"/>
  <tableColumns count="16">
    <tableColumn id="1" xr3:uid="{44C4D452-C6B5-491E-A91B-4C7C18CFC190}" name="Order_ID" dataDxfId="25"/>
    <tableColumn id="2" xr3:uid="{57565E96-F83D-4453-8FD2-B8B475621082}" name="Order_Date" dataDxfId="24"/>
    <tableColumn id="17" xr3:uid="{B10151AA-FCAD-4886-9FBD-B0DFC2E6AC84}" name="Month" dataDxfId="23">
      <calculatedColumnFormula>TEXT(B2,"mmmm")</calculatedColumnFormula>
    </tableColumn>
    <tableColumn id="3" xr3:uid="{591067DA-1091-469E-9A57-80B5D1BEF57B}" name="Customer_ID" dataDxfId="22"/>
    <tableColumn id="4" xr3:uid="{60D547AD-D6E1-45B0-91B0-5B7912B8FE90}" name="Region" dataDxfId="21"/>
    <tableColumn id="5" xr3:uid="{C7F33E3E-ECBC-4B24-8D03-36FD18D6742E}" name="City" dataDxfId="20"/>
    <tableColumn id="6" xr3:uid="{43DE51D5-D4F7-4D49-BEAA-2BAAC8F73B50}" name="Sales_Channel" dataDxfId="19"/>
    <tableColumn id="7" xr3:uid="{09C5BD22-FF6B-4265-8B02-0A3F619C1BA9}" name="Category" dataDxfId="18"/>
    <tableColumn id="8" xr3:uid="{8A7E8393-4069-4790-B62F-F0D26E7F6F7C}" name="Product" dataDxfId="17"/>
    <tableColumn id="9" xr3:uid="{F26AECDC-5A4E-4EC0-8041-AAAAD3825E80}" name="Quantity" dataDxfId="16"/>
    <tableColumn id="10" xr3:uid="{7AE5BC6F-1B98-4CC5-9A45-B6B210AE62F7}" name="Unit_Price_ZAR" dataDxfId="15"/>
    <tableColumn id="11" xr3:uid="{87B293C6-B168-4C91-BC32-8E39A19C43A5}" name="Discount" dataDxfId="14"/>
    <tableColumn id="12" xr3:uid="{C293A003-C8C0-4103-9DA2-EE5082B282F4}" name="Payment_Method" dataDxfId="13"/>
    <tableColumn id="13" xr3:uid="{5B52D035-6578-4C75-8D5D-B19F4E78E54A}" name="Gross_Sales_ZAR" dataDxfId="12"/>
    <tableColumn id="14" xr3:uid="{AC22D8EE-F2DF-4E84-9D12-1BA8EE446AF9}" name="Discount_Amount_ZAR" dataDxfId="11"/>
    <tableColumn id="15" xr3:uid="{9BABC8FB-8C4E-4A54-8C84-BBD1C4B271F4}" name="Net_Sales_ZAR" dataDxfId="1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58C9CD-EA76-4991-893F-8BAF504E574C}" name="Table3" displayName="Table3" ref="A508:C516" totalsRowShown="0" headerRowDxfId="9" dataDxfId="8">
  <autoFilter ref="A508:C516" xr:uid="{2558C9CD-EA76-4991-893F-8BAF504E574C}"/>
  <tableColumns count="3">
    <tableColumn id="1" xr3:uid="{AD25A83A-A67E-4283-98E2-2B9964CD8F6B}" name="Check" dataDxfId="7"/>
    <tableColumn id="2" xr3:uid="{4522F104-4772-499E-B5F9-8A95997E1946}" name="Action" dataDxfId="6"/>
    <tableColumn id="3" xr3:uid="{0B69E69A-D246-47D7-8939-416572C9C41E}" name="Result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1048</v>
      </c>
      <c r="B1" s="1" t="s">
        <v>1049</v>
      </c>
      <c r="C1" s="1" t="s">
        <v>1050</v>
      </c>
      <c r="D1" s="1" t="s">
        <v>1051</v>
      </c>
      <c r="E1" s="1" t="s">
        <v>1052</v>
      </c>
    </row>
    <row r="2" spans="1:5" x14ac:dyDescent="0.3">
      <c r="A2" t="s">
        <v>1053</v>
      </c>
      <c r="B2" t="s">
        <v>1054</v>
      </c>
      <c r="C2">
        <v>500</v>
      </c>
      <c r="D2" t="s">
        <v>1055</v>
      </c>
      <c r="E2" t="s">
        <v>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G1" workbookViewId="0">
      <selection activeCell="B1" sqref="B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</v>
      </c>
      <c r="J2">
        <v>89.99</v>
      </c>
      <c r="K2">
        <v>0</v>
      </c>
      <c r="L2" t="s">
        <v>23</v>
      </c>
      <c r="M2">
        <v>179.98</v>
      </c>
      <c r="N2">
        <v>0</v>
      </c>
      <c r="O2">
        <v>179.98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 t="s">
        <v>21</v>
      </c>
      <c r="H3" t="s">
        <v>22</v>
      </c>
      <c r="I3">
        <v>2</v>
      </c>
      <c r="J3">
        <v>89.99</v>
      </c>
      <c r="K3">
        <v>0.1</v>
      </c>
      <c r="L3" t="s">
        <v>23</v>
      </c>
      <c r="M3">
        <v>179.98</v>
      </c>
      <c r="N3">
        <v>18</v>
      </c>
      <c r="O3">
        <v>161.97999999999999</v>
      </c>
    </row>
    <row r="4" spans="1:15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1</v>
      </c>
      <c r="J4">
        <v>79.989999999999995</v>
      </c>
      <c r="K4">
        <v>0</v>
      </c>
      <c r="L4" t="s">
        <v>37</v>
      </c>
      <c r="M4">
        <v>79.989999999999995</v>
      </c>
      <c r="N4">
        <v>0</v>
      </c>
      <c r="O4">
        <v>79.989999999999995</v>
      </c>
    </row>
    <row r="5" spans="1:15" x14ac:dyDescent="0.3">
      <c r="A5" t="s">
        <v>38</v>
      </c>
      <c r="B5" t="s">
        <v>39</v>
      </c>
      <c r="C5" t="s">
        <v>40</v>
      </c>
      <c r="D5" t="s">
        <v>18</v>
      </c>
      <c r="E5" t="s">
        <v>19</v>
      </c>
      <c r="F5" t="s">
        <v>34</v>
      </c>
      <c r="G5" t="s">
        <v>35</v>
      </c>
      <c r="H5" t="s">
        <v>41</v>
      </c>
      <c r="I5">
        <v>1</v>
      </c>
      <c r="J5">
        <v>104.99</v>
      </c>
      <c r="K5">
        <v>0.05</v>
      </c>
      <c r="L5" t="s">
        <v>37</v>
      </c>
      <c r="M5">
        <v>104.99</v>
      </c>
      <c r="N5">
        <v>5.25</v>
      </c>
      <c r="O5">
        <v>99.74</v>
      </c>
    </row>
    <row r="6" spans="1:15" x14ac:dyDescent="0.3">
      <c r="A6" t="s">
        <v>42</v>
      </c>
      <c r="B6" t="s">
        <v>43</v>
      </c>
      <c r="C6" t="s">
        <v>44</v>
      </c>
      <c r="D6" t="s">
        <v>32</v>
      </c>
      <c r="E6" t="s">
        <v>45</v>
      </c>
      <c r="F6" t="s">
        <v>34</v>
      </c>
      <c r="G6" t="s">
        <v>21</v>
      </c>
      <c r="H6" t="s">
        <v>46</v>
      </c>
      <c r="I6">
        <v>4</v>
      </c>
      <c r="J6">
        <v>119.99</v>
      </c>
      <c r="K6">
        <v>0</v>
      </c>
      <c r="L6" t="s">
        <v>47</v>
      </c>
      <c r="M6">
        <v>479.96</v>
      </c>
      <c r="N6">
        <v>0</v>
      </c>
      <c r="O6">
        <v>479.96</v>
      </c>
    </row>
    <row r="7" spans="1:15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34</v>
      </c>
      <c r="G7" t="s">
        <v>21</v>
      </c>
      <c r="H7" t="s">
        <v>22</v>
      </c>
      <c r="I7">
        <v>1</v>
      </c>
      <c r="J7">
        <v>89.99</v>
      </c>
      <c r="K7">
        <v>0</v>
      </c>
      <c r="L7" t="s">
        <v>23</v>
      </c>
      <c r="M7">
        <v>89.99</v>
      </c>
      <c r="N7">
        <v>0</v>
      </c>
      <c r="O7">
        <v>89.99</v>
      </c>
    </row>
    <row r="8" spans="1:15" x14ac:dyDescent="0.3">
      <c r="A8" t="s">
        <v>53</v>
      </c>
      <c r="B8" t="s">
        <v>54</v>
      </c>
      <c r="C8" t="s">
        <v>55</v>
      </c>
      <c r="D8" t="s">
        <v>18</v>
      </c>
      <c r="E8" t="s">
        <v>56</v>
      </c>
      <c r="F8" t="s">
        <v>20</v>
      </c>
      <c r="G8" t="s">
        <v>57</v>
      </c>
      <c r="H8" t="s">
        <v>58</v>
      </c>
      <c r="I8">
        <v>2</v>
      </c>
      <c r="J8">
        <v>89.99</v>
      </c>
      <c r="K8">
        <v>0.15</v>
      </c>
      <c r="L8" t="s">
        <v>47</v>
      </c>
      <c r="M8">
        <v>179.98</v>
      </c>
      <c r="N8">
        <v>27</v>
      </c>
      <c r="O8">
        <v>152.97999999999999</v>
      </c>
    </row>
    <row r="9" spans="1:15" x14ac:dyDescent="0.3">
      <c r="A9" t="s">
        <v>59</v>
      </c>
      <c r="B9" t="s">
        <v>60</v>
      </c>
      <c r="C9" t="s">
        <v>61</v>
      </c>
      <c r="D9" t="s">
        <v>51</v>
      </c>
      <c r="E9" t="s">
        <v>52</v>
      </c>
      <c r="F9" t="s">
        <v>20</v>
      </c>
      <c r="G9" t="s">
        <v>62</v>
      </c>
      <c r="H9" t="s">
        <v>63</v>
      </c>
      <c r="I9">
        <v>4</v>
      </c>
      <c r="J9">
        <v>199.99</v>
      </c>
      <c r="K9">
        <v>0</v>
      </c>
      <c r="L9" t="s">
        <v>37</v>
      </c>
      <c r="M9">
        <v>799.96</v>
      </c>
      <c r="N9">
        <v>0</v>
      </c>
      <c r="O9">
        <v>799.96</v>
      </c>
    </row>
    <row r="10" spans="1:15" x14ac:dyDescent="0.3">
      <c r="A10" t="s">
        <v>64</v>
      </c>
      <c r="B10" t="s">
        <v>65</v>
      </c>
      <c r="C10" t="s">
        <v>66</v>
      </c>
      <c r="D10" t="s">
        <v>27</v>
      </c>
      <c r="E10" t="s">
        <v>67</v>
      </c>
      <c r="F10" t="s">
        <v>34</v>
      </c>
      <c r="G10" t="s">
        <v>21</v>
      </c>
      <c r="H10" t="s">
        <v>68</v>
      </c>
      <c r="I10">
        <v>4</v>
      </c>
      <c r="J10">
        <v>129.99</v>
      </c>
      <c r="K10">
        <v>0</v>
      </c>
      <c r="L10" t="s">
        <v>47</v>
      </c>
      <c r="M10">
        <v>519.96</v>
      </c>
      <c r="N10">
        <v>0</v>
      </c>
      <c r="O10">
        <v>519.96</v>
      </c>
    </row>
    <row r="11" spans="1:15" x14ac:dyDescent="0.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34</v>
      </c>
      <c r="G11" t="s">
        <v>74</v>
      </c>
      <c r="H11" t="s">
        <v>75</v>
      </c>
      <c r="I11">
        <v>3</v>
      </c>
      <c r="J11">
        <v>299.99</v>
      </c>
      <c r="K11">
        <v>0</v>
      </c>
      <c r="L11" t="s">
        <v>23</v>
      </c>
      <c r="M11">
        <v>899.97</v>
      </c>
      <c r="N11">
        <v>0</v>
      </c>
      <c r="O11">
        <v>899.97</v>
      </c>
    </row>
    <row r="12" spans="1:15" x14ac:dyDescent="0.3">
      <c r="A12" t="s">
        <v>76</v>
      </c>
      <c r="B12" t="s">
        <v>77</v>
      </c>
      <c r="C12" t="s">
        <v>78</v>
      </c>
      <c r="D12" t="s">
        <v>18</v>
      </c>
      <c r="E12" t="s">
        <v>19</v>
      </c>
      <c r="F12" t="s">
        <v>20</v>
      </c>
      <c r="G12" t="s">
        <v>62</v>
      </c>
      <c r="H12" t="s">
        <v>79</v>
      </c>
      <c r="I12">
        <v>2</v>
      </c>
      <c r="J12">
        <v>249.99</v>
      </c>
      <c r="K12">
        <v>0.1</v>
      </c>
      <c r="L12" t="s">
        <v>80</v>
      </c>
      <c r="M12">
        <v>499.98</v>
      </c>
      <c r="N12">
        <v>50</v>
      </c>
      <c r="O12">
        <v>449.98</v>
      </c>
    </row>
    <row r="13" spans="1:15" x14ac:dyDescent="0.3">
      <c r="A13" t="s">
        <v>81</v>
      </c>
      <c r="B13" t="s">
        <v>82</v>
      </c>
      <c r="C13" t="s">
        <v>83</v>
      </c>
      <c r="D13" t="s">
        <v>72</v>
      </c>
      <c r="E13" t="s">
        <v>73</v>
      </c>
      <c r="F13" t="s">
        <v>34</v>
      </c>
      <c r="G13" t="s">
        <v>35</v>
      </c>
      <c r="H13" t="s">
        <v>41</v>
      </c>
      <c r="I13">
        <v>4</v>
      </c>
      <c r="J13">
        <v>104.99</v>
      </c>
      <c r="K13">
        <v>0.05</v>
      </c>
      <c r="L13" t="s">
        <v>80</v>
      </c>
      <c r="M13">
        <v>419.96</v>
      </c>
      <c r="N13">
        <v>21</v>
      </c>
      <c r="O13">
        <v>398.96</v>
      </c>
    </row>
    <row r="14" spans="1:15" x14ac:dyDescent="0.3">
      <c r="A14" t="s">
        <v>84</v>
      </c>
      <c r="B14" t="s">
        <v>85</v>
      </c>
      <c r="C14" t="s">
        <v>86</v>
      </c>
      <c r="D14" t="s">
        <v>18</v>
      </c>
      <c r="E14" t="s">
        <v>19</v>
      </c>
      <c r="F14" t="s">
        <v>20</v>
      </c>
      <c r="G14" t="s">
        <v>21</v>
      </c>
      <c r="H14" t="s">
        <v>87</v>
      </c>
      <c r="I14">
        <v>3</v>
      </c>
      <c r="J14">
        <v>149.99</v>
      </c>
      <c r="K14">
        <v>0.05</v>
      </c>
      <c r="L14" t="s">
        <v>37</v>
      </c>
      <c r="M14">
        <v>449.97</v>
      </c>
      <c r="N14">
        <v>22.5</v>
      </c>
      <c r="O14">
        <v>427.47</v>
      </c>
    </row>
    <row r="15" spans="1:15" x14ac:dyDescent="0.3">
      <c r="A15" t="s">
        <v>88</v>
      </c>
      <c r="B15" t="s">
        <v>60</v>
      </c>
      <c r="C15" t="s">
        <v>89</v>
      </c>
      <c r="D15" t="s">
        <v>32</v>
      </c>
      <c r="E15" t="s">
        <v>45</v>
      </c>
      <c r="F15" t="s">
        <v>20</v>
      </c>
      <c r="G15" t="s">
        <v>62</v>
      </c>
      <c r="H15" t="s">
        <v>63</v>
      </c>
      <c r="I15">
        <v>6</v>
      </c>
      <c r="J15">
        <v>199.99</v>
      </c>
      <c r="K15">
        <v>0</v>
      </c>
      <c r="L15" t="s">
        <v>47</v>
      </c>
      <c r="M15">
        <v>1199.94</v>
      </c>
      <c r="N15">
        <v>0</v>
      </c>
      <c r="O15">
        <v>1199.94</v>
      </c>
    </row>
    <row r="16" spans="1:15" x14ac:dyDescent="0.3">
      <c r="A16" t="s">
        <v>90</v>
      </c>
      <c r="B16" t="s">
        <v>91</v>
      </c>
      <c r="C16" t="s">
        <v>92</v>
      </c>
      <c r="D16" t="s">
        <v>32</v>
      </c>
      <c r="E16" t="s">
        <v>45</v>
      </c>
      <c r="F16" t="s">
        <v>20</v>
      </c>
      <c r="G16" t="s">
        <v>57</v>
      </c>
      <c r="H16" t="s">
        <v>58</v>
      </c>
      <c r="I16">
        <v>5</v>
      </c>
      <c r="J16">
        <v>89.99</v>
      </c>
      <c r="K16">
        <v>0</v>
      </c>
      <c r="L16" t="s">
        <v>37</v>
      </c>
      <c r="M16">
        <v>449.95</v>
      </c>
      <c r="N16">
        <v>0</v>
      </c>
      <c r="O16">
        <v>449.95</v>
      </c>
    </row>
    <row r="17" spans="1:15" x14ac:dyDescent="0.3">
      <c r="A17" t="s">
        <v>93</v>
      </c>
      <c r="B17" t="s">
        <v>94</v>
      </c>
      <c r="C17" t="s">
        <v>95</v>
      </c>
      <c r="D17" t="s">
        <v>27</v>
      </c>
      <c r="E17" t="s">
        <v>28</v>
      </c>
      <c r="F17" t="s">
        <v>34</v>
      </c>
      <c r="G17" t="s">
        <v>57</v>
      </c>
      <c r="H17" t="s">
        <v>58</v>
      </c>
      <c r="I17">
        <v>5</v>
      </c>
      <c r="J17">
        <v>89.99</v>
      </c>
      <c r="K17">
        <v>0</v>
      </c>
      <c r="L17" t="s">
        <v>80</v>
      </c>
      <c r="M17">
        <v>449.95</v>
      </c>
      <c r="N17">
        <v>0</v>
      </c>
      <c r="O17">
        <v>449.95</v>
      </c>
    </row>
    <row r="18" spans="1:15" x14ac:dyDescent="0.3">
      <c r="A18" t="s">
        <v>96</v>
      </c>
      <c r="B18" t="s">
        <v>97</v>
      </c>
      <c r="C18" t="s">
        <v>98</v>
      </c>
      <c r="D18" t="s">
        <v>51</v>
      </c>
      <c r="E18" t="s">
        <v>52</v>
      </c>
      <c r="F18" t="s">
        <v>34</v>
      </c>
      <c r="G18" t="s">
        <v>62</v>
      </c>
      <c r="H18" t="s">
        <v>63</v>
      </c>
      <c r="I18">
        <v>5</v>
      </c>
      <c r="J18">
        <v>199.99</v>
      </c>
      <c r="K18">
        <v>0</v>
      </c>
      <c r="L18" t="s">
        <v>47</v>
      </c>
      <c r="M18">
        <v>999.95</v>
      </c>
      <c r="N18">
        <v>0</v>
      </c>
      <c r="O18">
        <v>999.95</v>
      </c>
    </row>
    <row r="19" spans="1:15" x14ac:dyDescent="0.3">
      <c r="A19" t="s">
        <v>99</v>
      </c>
      <c r="B19" t="s">
        <v>100</v>
      </c>
      <c r="C19" t="s">
        <v>101</v>
      </c>
      <c r="D19" t="s">
        <v>18</v>
      </c>
      <c r="E19" t="s">
        <v>56</v>
      </c>
      <c r="F19" t="s">
        <v>34</v>
      </c>
      <c r="G19" t="s">
        <v>62</v>
      </c>
      <c r="H19" t="s">
        <v>63</v>
      </c>
      <c r="I19">
        <v>6</v>
      </c>
      <c r="J19">
        <v>199.99</v>
      </c>
      <c r="K19">
        <v>0.15</v>
      </c>
      <c r="L19" t="s">
        <v>80</v>
      </c>
      <c r="M19">
        <v>1199.94</v>
      </c>
      <c r="N19">
        <v>179.99</v>
      </c>
      <c r="O19">
        <v>1019.95</v>
      </c>
    </row>
    <row r="20" spans="1:15" x14ac:dyDescent="0.3">
      <c r="A20" t="s">
        <v>102</v>
      </c>
      <c r="B20" t="s">
        <v>103</v>
      </c>
      <c r="C20" t="s">
        <v>104</v>
      </c>
      <c r="D20" t="s">
        <v>27</v>
      </c>
      <c r="E20" t="s">
        <v>67</v>
      </c>
      <c r="F20" t="s">
        <v>20</v>
      </c>
      <c r="G20" t="s">
        <v>35</v>
      </c>
      <c r="H20" t="s">
        <v>41</v>
      </c>
      <c r="I20">
        <v>1</v>
      </c>
      <c r="J20">
        <v>104.99</v>
      </c>
      <c r="K20">
        <v>0.1</v>
      </c>
      <c r="L20" t="s">
        <v>80</v>
      </c>
      <c r="M20">
        <v>104.99</v>
      </c>
      <c r="N20">
        <v>10.5</v>
      </c>
      <c r="O20">
        <v>94.49</v>
      </c>
    </row>
    <row r="21" spans="1:15" x14ac:dyDescent="0.3">
      <c r="A21" t="s">
        <v>105</v>
      </c>
      <c r="B21" t="s">
        <v>106</v>
      </c>
      <c r="C21" t="s">
        <v>107</v>
      </c>
      <c r="D21" t="s">
        <v>51</v>
      </c>
      <c r="E21" t="s">
        <v>108</v>
      </c>
      <c r="F21" t="s">
        <v>20</v>
      </c>
      <c r="G21" t="s">
        <v>21</v>
      </c>
      <c r="H21" t="s">
        <v>22</v>
      </c>
      <c r="I21">
        <v>1</v>
      </c>
      <c r="J21">
        <v>89.99</v>
      </c>
      <c r="K21">
        <v>0</v>
      </c>
      <c r="L21" t="s">
        <v>37</v>
      </c>
      <c r="M21">
        <v>89.99</v>
      </c>
      <c r="N21">
        <v>0</v>
      </c>
      <c r="O21">
        <v>89.99</v>
      </c>
    </row>
    <row r="22" spans="1:15" x14ac:dyDescent="0.3">
      <c r="A22" t="s">
        <v>109</v>
      </c>
      <c r="B22" t="s">
        <v>110</v>
      </c>
      <c r="C22" t="s">
        <v>111</v>
      </c>
      <c r="D22" t="s">
        <v>32</v>
      </c>
      <c r="E22" t="s">
        <v>45</v>
      </c>
      <c r="F22" t="s">
        <v>20</v>
      </c>
      <c r="G22" t="s">
        <v>74</v>
      </c>
      <c r="H22" t="s">
        <v>112</v>
      </c>
      <c r="I22">
        <v>6</v>
      </c>
      <c r="J22">
        <v>129.99</v>
      </c>
      <c r="K22">
        <v>0.1</v>
      </c>
      <c r="L22" t="s">
        <v>23</v>
      </c>
      <c r="M22">
        <v>779.94</v>
      </c>
      <c r="N22">
        <v>77.989999999999995</v>
      </c>
      <c r="O22">
        <v>701.95</v>
      </c>
    </row>
    <row r="23" spans="1:15" x14ac:dyDescent="0.3">
      <c r="A23" t="s">
        <v>113</v>
      </c>
      <c r="B23" t="s">
        <v>114</v>
      </c>
      <c r="C23" t="s">
        <v>31</v>
      </c>
      <c r="D23" t="s">
        <v>27</v>
      </c>
      <c r="E23" t="s">
        <v>28</v>
      </c>
      <c r="F23" t="s">
        <v>34</v>
      </c>
      <c r="G23" t="s">
        <v>74</v>
      </c>
      <c r="H23" t="s">
        <v>112</v>
      </c>
      <c r="I23">
        <v>6</v>
      </c>
      <c r="J23">
        <v>129.99</v>
      </c>
      <c r="K23">
        <v>0.05</v>
      </c>
      <c r="L23" t="s">
        <v>23</v>
      </c>
      <c r="M23">
        <v>779.94</v>
      </c>
      <c r="N23">
        <v>39</v>
      </c>
      <c r="O23">
        <v>740.94</v>
      </c>
    </row>
    <row r="24" spans="1:15" x14ac:dyDescent="0.3">
      <c r="A24" t="s">
        <v>115</v>
      </c>
      <c r="B24" t="s">
        <v>116</v>
      </c>
      <c r="C24" t="s">
        <v>117</v>
      </c>
      <c r="D24" t="s">
        <v>27</v>
      </c>
      <c r="E24" t="s">
        <v>67</v>
      </c>
      <c r="F24" t="s">
        <v>20</v>
      </c>
      <c r="G24" t="s">
        <v>21</v>
      </c>
      <c r="H24" t="s">
        <v>22</v>
      </c>
      <c r="I24">
        <v>6</v>
      </c>
      <c r="J24">
        <v>89.99</v>
      </c>
      <c r="K24">
        <v>0</v>
      </c>
      <c r="L24" t="s">
        <v>47</v>
      </c>
      <c r="M24">
        <v>539.94000000000005</v>
      </c>
      <c r="N24">
        <v>0</v>
      </c>
      <c r="O24">
        <v>539.94000000000005</v>
      </c>
    </row>
    <row r="25" spans="1:15" x14ac:dyDescent="0.3">
      <c r="A25" t="s">
        <v>118</v>
      </c>
      <c r="B25" t="s">
        <v>119</v>
      </c>
      <c r="C25" t="s">
        <v>117</v>
      </c>
      <c r="D25" t="s">
        <v>51</v>
      </c>
      <c r="E25" t="s">
        <v>52</v>
      </c>
      <c r="F25" t="s">
        <v>20</v>
      </c>
      <c r="G25" t="s">
        <v>62</v>
      </c>
      <c r="H25" t="s">
        <v>79</v>
      </c>
      <c r="I25">
        <v>2</v>
      </c>
      <c r="J25">
        <v>249.99</v>
      </c>
      <c r="K25">
        <v>0</v>
      </c>
      <c r="L25" t="s">
        <v>23</v>
      </c>
      <c r="M25">
        <v>499.98</v>
      </c>
      <c r="N25">
        <v>0</v>
      </c>
      <c r="O25">
        <v>499.98</v>
      </c>
    </row>
    <row r="26" spans="1:15" x14ac:dyDescent="0.3">
      <c r="A26" t="s">
        <v>120</v>
      </c>
      <c r="B26" t="s">
        <v>121</v>
      </c>
      <c r="C26" t="s">
        <v>122</v>
      </c>
      <c r="D26" t="s">
        <v>27</v>
      </c>
      <c r="E26" t="s">
        <v>123</v>
      </c>
      <c r="F26" t="s">
        <v>20</v>
      </c>
      <c r="G26" t="s">
        <v>62</v>
      </c>
      <c r="H26" t="s">
        <v>124</v>
      </c>
      <c r="I26">
        <v>5</v>
      </c>
      <c r="J26">
        <v>399.99</v>
      </c>
      <c r="K26">
        <v>0</v>
      </c>
      <c r="L26" t="s">
        <v>47</v>
      </c>
      <c r="M26">
        <v>1999.95</v>
      </c>
      <c r="N26">
        <v>0</v>
      </c>
      <c r="O26">
        <v>1999.95</v>
      </c>
    </row>
    <row r="27" spans="1:15" x14ac:dyDescent="0.3">
      <c r="A27" t="s">
        <v>125</v>
      </c>
      <c r="B27" t="s">
        <v>126</v>
      </c>
      <c r="C27" t="s">
        <v>50</v>
      </c>
      <c r="D27" t="s">
        <v>72</v>
      </c>
      <c r="E27" t="s">
        <v>73</v>
      </c>
      <c r="F27" t="s">
        <v>20</v>
      </c>
      <c r="G27" t="s">
        <v>74</v>
      </c>
      <c r="H27" t="s">
        <v>75</v>
      </c>
      <c r="I27">
        <v>4</v>
      </c>
      <c r="J27">
        <v>299.99</v>
      </c>
      <c r="K27">
        <v>0</v>
      </c>
      <c r="L27" t="s">
        <v>23</v>
      </c>
      <c r="M27">
        <v>1199.96</v>
      </c>
      <c r="N27">
        <v>0</v>
      </c>
      <c r="O27">
        <v>1199.96</v>
      </c>
    </row>
    <row r="28" spans="1:15" x14ac:dyDescent="0.3">
      <c r="A28" t="s">
        <v>127</v>
      </c>
      <c r="B28" t="s">
        <v>128</v>
      </c>
      <c r="C28" t="s">
        <v>129</v>
      </c>
      <c r="D28" t="s">
        <v>18</v>
      </c>
      <c r="E28" t="s">
        <v>56</v>
      </c>
      <c r="F28" t="s">
        <v>34</v>
      </c>
      <c r="G28" t="s">
        <v>57</v>
      </c>
      <c r="H28" t="s">
        <v>130</v>
      </c>
      <c r="I28">
        <v>6</v>
      </c>
      <c r="J28">
        <v>109.99</v>
      </c>
      <c r="K28">
        <v>0.15</v>
      </c>
      <c r="L28" t="s">
        <v>47</v>
      </c>
      <c r="M28">
        <v>659.94</v>
      </c>
      <c r="N28">
        <v>98.99</v>
      </c>
      <c r="O28">
        <v>560.95000000000005</v>
      </c>
    </row>
    <row r="29" spans="1:15" x14ac:dyDescent="0.3">
      <c r="A29" t="s">
        <v>131</v>
      </c>
      <c r="B29" t="s">
        <v>132</v>
      </c>
      <c r="C29" t="s">
        <v>133</v>
      </c>
      <c r="D29" t="s">
        <v>51</v>
      </c>
      <c r="E29" t="s">
        <v>108</v>
      </c>
      <c r="F29" t="s">
        <v>34</v>
      </c>
      <c r="G29" t="s">
        <v>35</v>
      </c>
      <c r="H29" t="s">
        <v>134</v>
      </c>
      <c r="I29">
        <v>5</v>
      </c>
      <c r="J29">
        <v>139.99</v>
      </c>
      <c r="K29">
        <v>0.15</v>
      </c>
      <c r="L29" t="s">
        <v>80</v>
      </c>
      <c r="M29">
        <v>699.95</v>
      </c>
      <c r="N29">
        <v>104.99</v>
      </c>
      <c r="O29">
        <v>594.96</v>
      </c>
    </row>
    <row r="30" spans="1:15" x14ac:dyDescent="0.3">
      <c r="A30" t="s">
        <v>135</v>
      </c>
      <c r="B30" t="s">
        <v>136</v>
      </c>
      <c r="C30" t="s">
        <v>137</v>
      </c>
      <c r="D30" t="s">
        <v>32</v>
      </c>
      <c r="E30" t="s">
        <v>45</v>
      </c>
      <c r="F30" t="s">
        <v>20</v>
      </c>
      <c r="G30" t="s">
        <v>21</v>
      </c>
      <c r="H30" t="s">
        <v>46</v>
      </c>
      <c r="I30">
        <v>1</v>
      </c>
      <c r="J30">
        <v>119.99</v>
      </c>
      <c r="K30">
        <v>0.1</v>
      </c>
      <c r="L30" t="s">
        <v>80</v>
      </c>
      <c r="M30">
        <v>119.99</v>
      </c>
      <c r="N30">
        <v>12</v>
      </c>
      <c r="O30">
        <v>107.99</v>
      </c>
    </row>
    <row r="31" spans="1:15" x14ac:dyDescent="0.3">
      <c r="A31" t="s">
        <v>138</v>
      </c>
      <c r="B31" t="s">
        <v>70</v>
      </c>
      <c r="C31" t="s">
        <v>139</v>
      </c>
      <c r="D31" t="s">
        <v>51</v>
      </c>
      <c r="E31" t="s">
        <v>52</v>
      </c>
      <c r="F31" t="s">
        <v>20</v>
      </c>
      <c r="G31" t="s">
        <v>62</v>
      </c>
      <c r="H31" t="s">
        <v>124</v>
      </c>
      <c r="I31">
        <v>1</v>
      </c>
      <c r="J31">
        <v>399.99</v>
      </c>
      <c r="K31">
        <v>0.1</v>
      </c>
      <c r="L31" t="s">
        <v>80</v>
      </c>
      <c r="M31">
        <v>399.99</v>
      </c>
      <c r="N31">
        <v>40</v>
      </c>
      <c r="O31">
        <v>359.99</v>
      </c>
    </row>
    <row r="32" spans="1:15" x14ac:dyDescent="0.3">
      <c r="A32" t="s">
        <v>140</v>
      </c>
      <c r="B32" t="s">
        <v>141</v>
      </c>
      <c r="C32" t="s">
        <v>142</v>
      </c>
      <c r="D32" t="s">
        <v>32</v>
      </c>
      <c r="E32" t="s">
        <v>33</v>
      </c>
      <c r="F32" t="s">
        <v>34</v>
      </c>
      <c r="G32" t="s">
        <v>74</v>
      </c>
      <c r="H32" t="s">
        <v>143</v>
      </c>
      <c r="I32">
        <v>3</v>
      </c>
      <c r="J32">
        <v>99.99</v>
      </c>
      <c r="K32">
        <v>0</v>
      </c>
      <c r="L32" t="s">
        <v>47</v>
      </c>
      <c r="M32">
        <v>299.97000000000003</v>
      </c>
      <c r="N32">
        <v>0</v>
      </c>
      <c r="O32">
        <v>299.97000000000003</v>
      </c>
    </row>
    <row r="33" spans="1:15" x14ac:dyDescent="0.3">
      <c r="A33" t="s">
        <v>144</v>
      </c>
      <c r="B33" t="s">
        <v>145</v>
      </c>
      <c r="C33" t="s">
        <v>146</v>
      </c>
      <c r="D33" t="s">
        <v>51</v>
      </c>
      <c r="E33" t="s">
        <v>52</v>
      </c>
      <c r="F33" t="s">
        <v>34</v>
      </c>
      <c r="G33" t="s">
        <v>57</v>
      </c>
      <c r="H33" t="s">
        <v>130</v>
      </c>
      <c r="I33">
        <v>4</v>
      </c>
      <c r="J33">
        <v>109.99</v>
      </c>
      <c r="K33">
        <v>0</v>
      </c>
      <c r="L33" t="s">
        <v>80</v>
      </c>
      <c r="M33">
        <v>439.96</v>
      </c>
      <c r="N33">
        <v>0</v>
      </c>
      <c r="O33">
        <v>439.96</v>
      </c>
    </row>
    <row r="34" spans="1:15" x14ac:dyDescent="0.3">
      <c r="A34" t="s">
        <v>147</v>
      </c>
      <c r="B34" t="s">
        <v>148</v>
      </c>
      <c r="C34" t="s">
        <v>149</v>
      </c>
      <c r="D34" t="s">
        <v>32</v>
      </c>
      <c r="E34" t="s">
        <v>33</v>
      </c>
      <c r="F34" t="s">
        <v>20</v>
      </c>
      <c r="G34" t="s">
        <v>21</v>
      </c>
      <c r="H34" t="s">
        <v>68</v>
      </c>
      <c r="I34">
        <v>2</v>
      </c>
      <c r="J34">
        <v>129.99</v>
      </c>
      <c r="K34">
        <v>0</v>
      </c>
      <c r="L34" t="s">
        <v>37</v>
      </c>
      <c r="M34">
        <v>259.98</v>
      </c>
      <c r="N34">
        <v>0</v>
      </c>
      <c r="O34">
        <v>259.98</v>
      </c>
    </row>
    <row r="35" spans="1:15" x14ac:dyDescent="0.3">
      <c r="A35" t="s">
        <v>150</v>
      </c>
      <c r="B35" t="s">
        <v>151</v>
      </c>
      <c r="C35" t="s">
        <v>146</v>
      </c>
      <c r="D35" t="s">
        <v>72</v>
      </c>
      <c r="E35" t="s">
        <v>152</v>
      </c>
      <c r="F35" t="s">
        <v>34</v>
      </c>
      <c r="G35" t="s">
        <v>57</v>
      </c>
      <c r="H35" t="s">
        <v>58</v>
      </c>
      <c r="I35">
        <v>5</v>
      </c>
      <c r="J35">
        <v>89.99</v>
      </c>
      <c r="K35">
        <v>0.15</v>
      </c>
      <c r="L35" t="s">
        <v>80</v>
      </c>
      <c r="M35">
        <v>449.95</v>
      </c>
      <c r="N35">
        <v>67.489999999999995</v>
      </c>
      <c r="O35">
        <v>382.46</v>
      </c>
    </row>
    <row r="36" spans="1:15" x14ac:dyDescent="0.3">
      <c r="A36" t="s">
        <v>153</v>
      </c>
      <c r="B36" t="s">
        <v>154</v>
      </c>
      <c r="C36" t="s">
        <v>155</v>
      </c>
      <c r="D36" t="s">
        <v>27</v>
      </c>
      <c r="E36" t="s">
        <v>28</v>
      </c>
      <c r="F36" t="s">
        <v>34</v>
      </c>
      <c r="G36" t="s">
        <v>35</v>
      </c>
      <c r="H36" t="s">
        <v>134</v>
      </c>
      <c r="I36">
        <v>6</v>
      </c>
      <c r="J36">
        <v>139.99</v>
      </c>
      <c r="K36">
        <v>0.1</v>
      </c>
      <c r="L36" t="s">
        <v>47</v>
      </c>
      <c r="M36">
        <v>839.94</v>
      </c>
      <c r="N36">
        <v>83.99</v>
      </c>
      <c r="O36">
        <v>755.95</v>
      </c>
    </row>
    <row r="37" spans="1:15" x14ac:dyDescent="0.3">
      <c r="A37" t="s">
        <v>156</v>
      </c>
      <c r="B37" t="s">
        <v>121</v>
      </c>
      <c r="C37" t="s">
        <v>157</v>
      </c>
      <c r="D37" t="s">
        <v>18</v>
      </c>
      <c r="E37" t="s">
        <v>56</v>
      </c>
      <c r="F37" t="s">
        <v>34</v>
      </c>
      <c r="G37" t="s">
        <v>57</v>
      </c>
      <c r="H37" t="s">
        <v>58</v>
      </c>
      <c r="I37">
        <v>3</v>
      </c>
      <c r="J37">
        <v>89.99</v>
      </c>
      <c r="K37">
        <v>0</v>
      </c>
      <c r="L37" t="s">
        <v>37</v>
      </c>
      <c r="M37">
        <v>269.97000000000003</v>
      </c>
      <c r="N37">
        <v>0</v>
      </c>
      <c r="O37">
        <v>269.97000000000003</v>
      </c>
    </row>
    <row r="38" spans="1:15" x14ac:dyDescent="0.3">
      <c r="A38" t="s">
        <v>158</v>
      </c>
      <c r="B38" t="s">
        <v>159</v>
      </c>
      <c r="C38" t="s">
        <v>160</v>
      </c>
      <c r="D38" t="s">
        <v>18</v>
      </c>
      <c r="E38" t="s">
        <v>19</v>
      </c>
      <c r="F38" t="s">
        <v>34</v>
      </c>
      <c r="G38" t="s">
        <v>21</v>
      </c>
      <c r="H38" t="s">
        <v>22</v>
      </c>
      <c r="I38">
        <v>6</v>
      </c>
      <c r="J38">
        <v>89.99</v>
      </c>
      <c r="K38">
        <v>0</v>
      </c>
      <c r="L38" t="s">
        <v>23</v>
      </c>
      <c r="M38">
        <v>539.94000000000005</v>
      </c>
      <c r="N38">
        <v>0</v>
      </c>
      <c r="O38">
        <v>539.94000000000005</v>
      </c>
    </row>
    <row r="39" spans="1:15" x14ac:dyDescent="0.3">
      <c r="A39" t="s">
        <v>161</v>
      </c>
      <c r="B39" t="s">
        <v>162</v>
      </c>
      <c r="C39" t="s">
        <v>163</v>
      </c>
      <c r="D39" t="s">
        <v>27</v>
      </c>
      <c r="E39" t="s">
        <v>28</v>
      </c>
      <c r="F39" t="s">
        <v>34</v>
      </c>
      <c r="G39" t="s">
        <v>62</v>
      </c>
      <c r="H39" t="s">
        <v>124</v>
      </c>
      <c r="I39">
        <v>6</v>
      </c>
      <c r="J39">
        <v>399.99</v>
      </c>
      <c r="K39">
        <v>0</v>
      </c>
      <c r="L39" t="s">
        <v>47</v>
      </c>
      <c r="M39">
        <v>2399.94</v>
      </c>
      <c r="N39">
        <v>0</v>
      </c>
      <c r="O39">
        <v>2399.94</v>
      </c>
    </row>
    <row r="40" spans="1:15" x14ac:dyDescent="0.3">
      <c r="A40" t="s">
        <v>164</v>
      </c>
      <c r="B40" t="s">
        <v>165</v>
      </c>
      <c r="C40" t="s">
        <v>166</v>
      </c>
      <c r="D40" t="s">
        <v>27</v>
      </c>
      <c r="E40" t="s">
        <v>67</v>
      </c>
      <c r="F40" t="s">
        <v>20</v>
      </c>
      <c r="G40" t="s">
        <v>74</v>
      </c>
      <c r="H40" t="s">
        <v>112</v>
      </c>
      <c r="I40">
        <v>3</v>
      </c>
      <c r="J40">
        <v>129.99</v>
      </c>
      <c r="K40">
        <v>0</v>
      </c>
      <c r="L40" t="s">
        <v>80</v>
      </c>
      <c r="M40">
        <v>389.97</v>
      </c>
      <c r="N40">
        <v>0</v>
      </c>
      <c r="O40">
        <v>389.97</v>
      </c>
    </row>
    <row r="41" spans="1:15" x14ac:dyDescent="0.3">
      <c r="A41" t="s">
        <v>167</v>
      </c>
      <c r="B41" t="s">
        <v>168</v>
      </c>
      <c r="C41" t="s">
        <v>149</v>
      </c>
      <c r="D41" t="s">
        <v>32</v>
      </c>
      <c r="E41" t="s">
        <v>45</v>
      </c>
      <c r="F41" t="s">
        <v>34</v>
      </c>
      <c r="G41" t="s">
        <v>57</v>
      </c>
      <c r="H41" t="s">
        <v>130</v>
      </c>
      <c r="I41">
        <v>2</v>
      </c>
      <c r="J41">
        <v>109.99</v>
      </c>
      <c r="K41">
        <v>0</v>
      </c>
      <c r="L41" t="s">
        <v>80</v>
      </c>
      <c r="M41">
        <v>219.98</v>
      </c>
      <c r="N41">
        <v>0</v>
      </c>
      <c r="O41">
        <v>219.98</v>
      </c>
    </row>
    <row r="42" spans="1:15" x14ac:dyDescent="0.3">
      <c r="A42" t="s">
        <v>169</v>
      </c>
      <c r="B42" t="s">
        <v>170</v>
      </c>
      <c r="C42" t="s">
        <v>171</v>
      </c>
      <c r="D42" t="s">
        <v>72</v>
      </c>
      <c r="E42" t="s">
        <v>73</v>
      </c>
      <c r="F42" t="s">
        <v>34</v>
      </c>
      <c r="G42" t="s">
        <v>35</v>
      </c>
      <c r="H42" t="s">
        <v>134</v>
      </c>
      <c r="I42">
        <v>3</v>
      </c>
      <c r="J42">
        <v>139.99</v>
      </c>
      <c r="K42">
        <v>0</v>
      </c>
      <c r="L42" t="s">
        <v>80</v>
      </c>
      <c r="M42">
        <v>419.97</v>
      </c>
      <c r="N42">
        <v>0</v>
      </c>
      <c r="O42">
        <v>419.97</v>
      </c>
    </row>
    <row r="43" spans="1:15" x14ac:dyDescent="0.3">
      <c r="A43" t="s">
        <v>172</v>
      </c>
      <c r="B43" t="s">
        <v>173</v>
      </c>
      <c r="C43" t="s">
        <v>174</v>
      </c>
      <c r="D43" t="s">
        <v>51</v>
      </c>
      <c r="E43" t="s">
        <v>52</v>
      </c>
      <c r="F43" t="s">
        <v>20</v>
      </c>
      <c r="G43" t="s">
        <v>74</v>
      </c>
      <c r="H43" t="s">
        <v>112</v>
      </c>
      <c r="I43">
        <v>3</v>
      </c>
      <c r="J43">
        <v>129.99</v>
      </c>
      <c r="K43">
        <v>0</v>
      </c>
      <c r="L43" t="s">
        <v>47</v>
      </c>
      <c r="M43">
        <v>389.97</v>
      </c>
      <c r="N43">
        <v>0</v>
      </c>
      <c r="O43">
        <v>389.97</v>
      </c>
    </row>
    <row r="44" spans="1:15" x14ac:dyDescent="0.3">
      <c r="A44" t="s">
        <v>175</v>
      </c>
      <c r="B44" t="s">
        <v>176</v>
      </c>
      <c r="C44" t="s">
        <v>177</v>
      </c>
      <c r="D44" t="s">
        <v>18</v>
      </c>
      <c r="E44" t="s">
        <v>19</v>
      </c>
      <c r="F44" t="s">
        <v>34</v>
      </c>
      <c r="G44" t="s">
        <v>74</v>
      </c>
      <c r="H44" t="s">
        <v>75</v>
      </c>
      <c r="I44">
        <v>3</v>
      </c>
      <c r="J44">
        <v>299.99</v>
      </c>
      <c r="K44">
        <v>0</v>
      </c>
      <c r="L44" t="s">
        <v>37</v>
      </c>
      <c r="M44">
        <v>899.97</v>
      </c>
      <c r="N44">
        <v>0</v>
      </c>
      <c r="O44">
        <v>899.97</v>
      </c>
    </row>
    <row r="45" spans="1:15" x14ac:dyDescent="0.3">
      <c r="A45" t="s">
        <v>178</v>
      </c>
      <c r="B45" t="s">
        <v>179</v>
      </c>
      <c r="C45" t="s">
        <v>171</v>
      </c>
      <c r="D45" t="s">
        <v>18</v>
      </c>
      <c r="E45" t="s">
        <v>19</v>
      </c>
      <c r="F45" t="s">
        <v>34</v>
      </c>
      <c r="G45" t="s">
        <v>21</v>
      </c>
      <c r="H45" t="s">
        <v>22</v>
      </c>
      <c r="I45">
        <v>5</v>
      </c>
      <c r="J45">
        <v>89.99</v>
      </c>
      <c r="K45">
        <v>0</v>
      </c>
      <c r="L45" t="s">
        <v>37</v>
      </c>
      <c r="M45">
        <v>449.95</v>
      </c>
      <c r="N45">
        <v>0</v>
      </c>
      <c r="O45">
        <v>449.95</v>
      </c>
    </row>
    <row r="46" spans="1:15" x14ac:dyDescent="0.3">
      <c r="A46" t="s">
        <v>180</v>
      </c>
      <c r="B46" t="s">
        <v>181</v>
      </c>
      <c r="C46" t="s">
        <v>182</v>
      </c>
      <c r="D46" t="s">
        <v>32</v>
      </c>
      <c r="E46" t="s">
        <v>45</v>
      </c>
      <c r="F46" t="s">
        <v>20</v>
      </c>
      <c r="G46" t="s">
        <v>57</v>
      </c>
      <c r="H46" t="s">
        <v>130</v>
      </c>
      <c r="I46">
        <v>4</v>
      </c>
      <c r="J46">
        <v>109.99</v>
      </c>
      <c r="K46">
        <v>0.1</v>
      </c>
      <c r="L46" t="s">
        <v>23</v>
      </c>
      <c r="M46">
        <v>439.96</v>
      </c>
      <c r="N46">
        <v>44</v>
      </c>
      <c r="O46">
        <v>395.96</v>
      </c>
    </row>
    <row r="47" spans="1:15" x14ac:dyDescent="0.3">
      <c r="A47" t="s">
        <v>183</v>
      </c>
      <c r="B47" t="s">
        <v>184</v>
      </c>
      <c r="C47" t="s">
        <v>185</v>
      </c>
      <c r="D47" t="s">
        <v>18</v>
      </c>
      <c r="E47" t="s">
        <v>56</v>
      </c>
      <c r="F47" t="s">
        <v>34</v>
      </c>
      <c r="G47" t="s">
        <v>21</v>
      </c>
      <c r="H47" t="s">
        <v>68</v>
      </c>
      <c r="I47">
        <v>1</v>
      </c>
      <c r="J47">
        <v>129.99</v>
      </c>
      <c r="K47">
        <v>0.15</v>
      </c>
      <c r="L47" t="s">
        <v>80</v>
      </c>
      <c r="M47">
        <v>129.99</v>
      </c>
      <c r="N47">
        <v>19.5</v>
      </c>
      <c r="O47">
        <v>110.49</v>
      </c>
    </row>
    <row r="48" spans="1:15" x14ac:dyDescent="0.3">
      <c r="A48" t="s">
        <v>186</v>
      </c>
      <c r="B48" t="s">
        <v>187</v>
      </c>
      <c r="C48" t="s">
        <v>188</v>
      </c>
      <c r="D48" t="s">
        <v>72</v>
      </c>
      <c r="E48" t="s">
        <v>152</v>
      </c>
      <c r="F48" t="s">
        <v>20</v>
      </c>
      <c r="G48" t="s">
        <v>57</v>
      </c>
      <c r="H48" t="s">
        <v>189</v>
      </c>
      <c r="I48">
        <v>4</v>
      </c>
      <c r="J48">
        <v>119.99</v>
      </c>
      <c r="K48">
        <v>0.15</v>
      </c>
      <c r="L48" t="s">
        <v>47</v>
      </c>
      <c r="M48">
        <v>479.96</v>
      </c>
      <c r="N48">
        <v>71.989999999999995</v>
      </c>
      <c r="O48">
        <v>407.97</v>
      </c>
    </row>
    <row r="49" spans="1:15" x14ac:dyDescent="0.3">
      <c r="A49" t="s">
        <v>190</v>
      </c>
      <c r="B49" t="s">
        <v>191</v>
      </c>
      <c r="C49" t="s">
        <v>192</v>
      </c>
      <c r="D49" t="s">
        <v>72</v>
      </c>
      <c r="E49" t="s">
        <v>73</v>
      </c>
      <c r="F49" t="s">
        <v>20</v>
      </c>
      <c r="G49" t="s">
        <v>74</v>
      </c>
      <c r="H49" t="s">
        <v>143</v>
      </c>
      <c r="I49">
        <v>5</v>
      </c>
      <c r="J49">
        <v>99.99</v>
      </c>
      <c r="K49">
        <v>0.1</v>
      </c>
      <c r="L49" t="s">
        <v>37</v>
      </c>
      <c r="M49">
        <v>499.95</v>
      </c>
      <c r="N49">
        <v>50</v>
      </c>
      <c r="O49">
        <v>449.95</v>
      </c>
    </row>
    <row r="50" spans="1:15" x14ac:dyDescent="0.3">
      <c r="A50" t="s">
        <v>193</v>
      </c>
      <c r="B50" t="s">
        <v>194</v>
      </c>
      <c r="C50" t="s">
        <v>195</v>
      </c>
      <c r="D50" t="s">
        <v>72</v>
      </c>
      <c r="E50" t="s">
        <v>152</v>
      </c>
      <c r="F50" t="s">
        <v>20</v>
      </c>
      <c r="G50" t="s">
        <v>57</v>
      </c>
      <c r="H50" t="s">
        <v>58</v>
      </c>
      <c r="I50">
        <v>4</v>
      </c>
      <c r="J50">
        <v>89.99</v>
      </c>
      <c r="K50">
        <v>0.05</v>
      </c>
      <c r="L50" t="s">
        <v>23</v>
      </c>
      <c r="M50">
        <v>359.96</v>
      </c>
      <c r="N50">
        <v>18</v>
      </c>
      <c r="O50">
        <v>341.96</v>
      </c>
    </row>
    <row r="51" spans="1:15" x14ac:dyDescent="0.3">
      <c r="A51" t="s">
        <v>196</v>
      </c>
      <c r="B51" t="s">
        <v>197</v>
      </c>
      <c r="C51" t="s">
        <v>198</v>
      </c>
      <c r="D51" t="s">
        <v>18</v>
      </c>
      <c r="E51" t="s">
        <v>56</v>
      </c>
      <c r="F51" t="s">
        <v>20</v>
      </c>
      <c r="G51" t="s">
        <v>35</v>
      </c>
      <c r="H51" t="s">
        <v>199</v>
      </c>
      <c r="I51">
        <v>1</v>
      </c>
      <c r="J51">
        <v>99.99</v>
      </c>
      <c r="K51">
        <v>0</v>
      </c>
      <c r="L51" t="s">
        <v>47</v>
      </c>
      <c r="M51">
        <v>99.99</v>
      </c>
      <c r="N51">
        <v>0</v>
      </c>
      <c r="O51">
        <v>99.99</v>
      </c>
    </row>
    <row r="52" spans="1:15" x14ac:dyDescent="0.3">
      <c r="A52" t="s">
        <v>200</v>
      </c>
      <c r="B52" t="s">
        <v>145</v>
      </c>
      <c r="C52" t="s">
        <v>86</v>
      </c>
      <c r="D52" t="s">
        <v>27</v>
      </c>
      <c r="E52" t="s">
        <v>28</v>
      </c>
      <c r="F52" t="s">
        <v>34</v>
      </c>
      <c r="G52" t="s">
        <v>35</v>
      </c>
      <c r="H52" t="s">
        <v>199</v>
      </c>
      <c r="I52">
        <v>4</v>
      </c>
      <c r="J52">
        <v>99.99</v>
      </c>
      <c r="K52">
        <v>0.1</v>
      </c>
      <c r="L52" t="s">
        <v>47</v>
      </c>
      <c r="M52">
        <v>399.96</v>
      </c>
      <c r="N52">
        <v>40</v>
      </c>
      <c r="O52">
        <v>359.96</v>
      </c>
    </row>
    <row r="53" spans="1:15" x14ac:dyDescent="0.3">
      <c r="A53" t="s">
        <v>201</v>
      </c>
      <c r="B53" t="s">
        <v>202</v>
      </c>
      <c r="C53" t="s">
        <v>203</v>
      </c>
      <c r="D53" t="s">
        <v>72</v>
      </c>
      <c r="E53" t="s">
        <v>73</v>
      </c>
      <c r="F53" t="s">
        <v>20</v>
      </c>
      <c r="G53" t="s">
        <v>74</v>
      </c>
      <c r="H53" t="s">
        <v>75</v>
      </c>
      <c r="I53">
        <v>2</v>
      </c>
      <c r="J53">
        <v>299.99</v>
      </c>
      <c r="K53">
        <v>0.15</v>
      </c>
      <c r="L53" t="s">
        <v>23</v>
      </c>
      <c r="M53">
        <v>599.98</v>
      </c>
      <c r="N53">
        <v>90</v>
      </c>
      <c r="O53">
        <v>509.98</v>
      </c>
    </row>
    <row r="54" spans="1:15" x14ac:dyDescent="0.3">
      <c r="A54" t="s">
        <v>204</v>
      </c>
      <c r="B54" t="s">
        <v>205</v>
      </c>
      <c r="C54" t="s">
        <v>206</v>
      </c>
      <c r="D54" t="s">
        <v>32</v>
      </c>
      <c r="E54" t="s">
        <v>33</v>
      </c>
      <c r="F54" t="s">
        <v>20</v>
      </c>
      <c r="G54" t="s">
        <v>35</v>
      </c>
      <c r="H54" t="s">
        <v>41</v>
      </c>
      <c r="I54">
        <v>1</v>
      </c>
      <c r="J54">
        <v>104.99</v>
      </c>
      <c r="K54">
        <v>0.1</v>
      </c>
      <c r="L54" t="s">
        <v>23</v>
      </c>
      <c r="M54">
        <v>104.99</v>
      </c>
      <c r="N54">
        <v>10.5</v>
      </c>
      <c r="O54">
        <v>94.49</v>
      </c>
    </row>
    <row r="55" spans="1:15" x14ac:dyDescent="0.3">
      <c r="A55" t="s">
        <v>207</v>
      </c>
      <c r="B55" t="s">
        <v>208</v>
      </c>
      <c r="C55" t="s">
        <v>209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>
        <v>4</v>
      </c>
      <c r="J55">
        <v>79.989999999999995</v>
      </c>
      <c r="K55">
        <v>0.1</v>
      </c>
      <c r="L55" t="s">
        <v>47</v>
      </c>
      <c r="M55">
        <v>319.95999999999998</v>
      </c>
      <c r="N55">
        <v>32</v>
      </c>
      <c r="O55">
        <v>287.95999999999998</v>
      </c>
    </row>
    <row r="56" spans="1:15" x14ac:dyDescent="0.3">
      <c r="A56" t="s">
        <v>210</v>
      </c>
      <c r="B56" t="s">
        <v>211</v>
      </c>
      <c r="C56" t="s">
        <v>212</v>
      </c>
      <c r="D56" t="s">
        <v>18</v>
      </c>
      <c r="E56" t="s">
        <v>19</v>
      </c>
      <c r="F56" t="s">
        <v>20</v>
      </c>
      <c r="G56" t="s">
        <v>74</v>
      </c>
      <c r="H56" t="s">
        <v>75</v>
      </c>
      <c r="I56">
        <v>6</v>
      </c>
      <c r="J56">
        <v>299.99</v>
      </c>
      <c r="K56">
        <v>0</v>
      </c>
      <c r="L56" t="s">
        <v>37</v>
      </c>
      <c r="M56">
        <v>1799.94</v>
      </c>
      <c r="N56">
        <v>0</v>
      </c>
      <c r="O56">
        <v>1799.94</v>
      </c>
    </row>
    <row r="57" spans="1:15" x14ac:dyDescent="0.3">
      <c r="A57" t="s">
        <v>213</v>
      </c>
      <c r="B57" t="s">
        <v>214</v>
      </c>
      <c r="C57" t="s">
        <v>215</v>
      </c>
      <c r="D57" t="s">
        <v>18</v>
      </c>
      <c r="E57" t="s">
        <v>19</v>
      </c>
      <c r="F57" t="s">
        <v>20</v>
      </c>
      <c r="G57" t="s">
        <v>74</v>
      </c>
      <c r="H57" t="s">
        <v>112</v>
      </c>
      <c r="I57">
        <v>3</v>
      </c>
      <c r="J57">
        <v>129.99</v>
      </c>
      <c r="K57">
        <v>0</v>
      </c>
      <c r="L57" t="s">
        <v>47</v>
      </c>
      <c r="M57">
        <v>389.97</v>
      </c>
      <c r="N57">
        <v>0</v>
      </c>
      <c r="O57">
        <v>389.97</v>
      </c>
    </row>
    <row r="58" spans="1:15" x14ac:dyDescent="0.3">
      <c r="A58" t="s">
        <v>216</v>
      </c>
      <c r="B58" t="s">
        <v>217</v>
      </c>
      <c r="C58" t="s">
        <v>218</v>
      </c>
      <c r="D58" t="s">
        <v>72</v>
      </c>
      <c r="E58" t="s">
        <v>73</v>
      </c>
      <c r="F58" t="s">
        <v>34</v>
      </c>
      <c r="G58" t="s">
        <v>35</v>
      </c>
      <c r="H58" t="s">
        <v>41</v>
      </c>
      <c r="I58">
        <v>6</v>
      </c>
      <c r="J58">
        <v>104.99</v>
      </c>
      <c r="K58">
        <v>0</v>
      </c>
      <c r="L58" t="s">
        <v>37</v>
      </c>
      <c r="M58">
        <v>629.94000000000005</v>
      </c>
      <c r="N58">
        <v>0</v>
      </c>
      <c r="O58">
        <v>629.94000000000005</v>
      </c>
    </row>
    <row r="59" spans="1:15" x14ac:dyDescent="0.3">
      <c r="A59" t="s">
        <v>219</v>
      </c>
      <c r="B59" t="s">
        <v>220</v>
      </c>
      <c r="C59" t="s">
        <v>221</v>
      </c>
      <c r="D59" t="s">
        <v>72</v>
      </c>
      <c r="E59" t="s">
        <v>73</v>
      </c>
      <c r="F59" t="s">
        <v>20</v>
      </c>
      <c r="G59" t="s">
        <v>62</v>
      </c>
      <c r="H59" t="s">
        <v>79</v>
      </c>
      <c r="I59">
        <v>2</v>
      </c>
      <c r="J59">
        <v>249.99</v>
      </c>
      <c r="K59">
        <v>0.05</v>
      </c>
      <c r="L59" t="s">
        <v>23</v>
      </c>
      <c r="M59">
        <v>499.98</v>
      </c>
      <c r="N59">
        <v>25</v>
      </c>
      <c r="O59">
        <v>474.98</v>
      </c>
    </row>
    <row r="60" spans="1:15" x14ac:dyDescent="0.3">
      <c r="A60" t="s">
        <v>222</v>
      </c>
      <c r="B60" t="s">
        <v>223</v>
      </c>
      <c r="C60" t="s">
        <v>224</v>
      </c>
      <c r="D60" t="s">
        <v>18</v>
      </c>
      <c r="E60" t="s">
        <v>56</v>
      </c>
      <c r="F60" t="s">
        <v>20</v>
      </c>
      <c r="G60" t="s">
        <v>74</v>
      </c>
      <c r="H60" t="s">
        <v>112</v>
      </c>
      <c r="I60">
        <v>4</v>
      </c>
      <c r="J60">
        <v>129.99</v>
      </c>
      <c r="K60">
        <v>0.05</v>
      </c>
      <c r="L60" t="s">
        <v>23</v>
      </c>
      <c r="M60">
        <v>519.96</v>
      </c>
      <c r="N60">
        <v>26</v>
      </c>
      <c r="O60">
        <v>493.96</v>
      </c>
    </row>
    <row r="61" spans="1:15" x14ac:dyDescent="0.3">
      <c r="A61" t="s">
        <v>225</v>
      </c>
      <c r="B61" t="s">
        <v>226</v>
      </c>
      <c r="C61" t="s">
        <v>227</v>
      </c>
      <c r="D61" t="s">
        <v>72</v>
      </c>
      <c r="E61" t="s">
        <v>152</v>
      </c>
      <c r="F61" t="s">
        <v>34</v>
      </c>
      <c r="G61" t="s">
        <v>35</v>
      </c>
      <c r="H61" t="s">
        <v>134</v>
      </c>
      <c r="I61">
        <v>1</v>
      </c>
      <c r="J61">
        <v>139.99</v>
      </c>
      <c r="K61">
        <v>0.05</v>
      </c>
      <c r="L61" t="s">
        <v>47</v>
      </c>
      <c r="M61">
        <v>139.99</v>
      </c>
      <c r="N61">
        <v>7</v>
      </c>
      <c r="O61">
        <v>132.99</v>
      </c>
    </row>
    <row r="62" spans="1:15" x14ac:dyDescent="0.3">
      <c r="A62" t="s">
        <v>228</v>
      </c>
      <c r="B62" t="s">
        <v>229</v>
      </c>
      <c r="C62" t="s">
        <v>129</v>
      </c>
      <c r="D62" t="s">
        <v>32</v>
      </c>
      <c r="E62" t="s">
        <v>45</v>
      </c>
      <c r="F62" t="s">
        <v>20</v>
      </c>
      <c r="G62" t="s">
        <v>74</v>
      </c>
      <c r="H62" t="s">
        <v>112</v>
      </c>
      <c r="I62">
        <v>4</v>
      </c>
      <c r="J62">
        <v>129.99</v>
      </c>
      <c r="K62">
        <v>0.1</v>
      </c>
      <c r="L62" t="s">
        <v>80</v>
      </c>
      <c r="M62">
        <v>519.96</v>
      </c>
      <c r="N62">
        <v>52</v>
      </c>
      <c r="O62">
        <v>467.96</v>
      </c>
    </row>
    <row r="63" spans="1:15" x14ac:dyDescent="0.3">
      <c r="A63" t="s">
        <v>230</v>
      </c>
      <c r="B63" t="s">
        <v>231</v>
      </c>
      <c r="C63" t="s">
        <v>232</v>
      </c>
      <c r="D63" t="s">
        <v>72</v>
      </c>
      <c r="E63" t="s">
        <v>73</v>
      </c>
      <c r="F63" t="s">
        <v>20</v>
      </c>
      <c r="G63" t="s">
        <v>74</v>
      </c>
      <c r="H63" t="s">
        <v>112</v>
      </c>
      <c r="I63">
        <v>1</v>
      </c>
      <c r="J63">
        <v>129.99</v>
      </c>
      <c r="K63">
        <v>0</v>
      </c>
      <c r="L63" t="s">
        <v>23</v>
      </c>
      <c r="M63">
        <v>129.99</v>
      </c>
      <c r="N63">
        <v>0</v>
      </c>
      <c r="O63">
        <v>129.99</v>
      </c>
    </row>
    <row r="64" spans="1:15" x14ac:dyDescent="0.3">
      <c r="A64" t="s">
        <v>233</v>
      </c>
      <c r="B64" t="s">
        <v>136</v>
      </c>
      <c r="C64" t="s">
        <v>234</v>
      </c>
      <c r="D64" t="s">
        <v>72</v>
      </c>
      <c r="E64" t="s">
        <v>152</v>
      </c>
      <c r="F64" t="s">
        <v>20</v>
      </c>
      <c r="G64" t="s">
        <v>57</v>
      </c>
      <c r="H64" t="s">
        <v>189</v>
      </c>
      <c r="I64">
        <v>4</v>
      </c>
      <c r="J64">
        <v>119.99</v>
      </c>
      <c r="K64">
        <v>0</v>
      </c>
      <c r="L64" t="s">
        <v>80</v>
      </c>
      <c r="M64">
        <v>479.96</v>
      </c>
      <c r="N64">
        <v>0</v>
      </c>
      <c r="O64">
        <v>479.96</v>
      </c>
    </row>
    <row r="65" spans="1:15" x14ac:dyDescent="0.3">
      <c r="A65" t="s">
        <v>235</v>
      </c>
      <c r="B65" t="s">
        <v>70</v>
      </c>
      <c r="C65" t="s">
        <v>236</v>
      </c>
      <c r="D65" t="s">
        <v>27</v>
      </c>
      <c r="E65" t="s">
        <v>123</v>
      </c>
      <c r="F65" t="s">
        <v>20</v>
      </c>
      <c r="G65" t="s">
        <v>57</v>
      </c>
      <c r="H65" t="s">
        <v>58</v>
      </c>
      <c r="I65">
        <v>1</v>
      </c>
      <c r="J65">
        <v>89.99</v>
      </c>
      <c r="K65">
        <v>0</v>
      </c>
      <c r="L65" t="s">
        <v>47</v>
      </c>
      <c r="M65">
        <v>89.99</v>
      </c>
      <c r="N65">
        <v>0</v>
      </c>
      <c r="O65">
        <v>89.99</v>
      </c>
    </row>
    <row r="66" spans="1:15" x14ac:dyDescent="0.3">
      <c r="A66" t="s">
        <v>237</v>
      </c>
      <c r="B66" t="s">
        <v>238</v>
      </c>
      <c r="C66" t="s">
        <v>55</v>
      </c>
      <c r="D66" t="s">
        <v>72</v>
      </c>
      <c r="E66" t="s">
        <v>73</v>
      </c>
      <c r="F66" t="s">
        <v>34</v>
      </c>
      <c r="G66" t="s">
        <v>35</v>
      </c>
      <c r="H66" t="s">
        <v>41</v>
      </c>
      <c r="I66">
        <v>5</v>
      </c>
      <c r="J66">
        <v>104.99</v>
      </c>
      <c r="K66">
        <v>0</v>
      </c>
      <c r="L66" t="s">
        <v>37</v>
      </c>
      <c r="M66">
        <v>524.95000000000005</v>
      </c>
      <c r="N66">
        <v>0</v>
      </c>
      <c r="O66">
        <v>524.95000000000005</v>
      </c>
    </row>
    <row r="67" spans="1:15" x14ac:dyDescent="0.3">
      <c r="A67" t="s">
        <v>239</v>
      </c>
      <c r="B67" t="s">
        <v>240</v>
      </c>
      <c r="C67" t="s">
        <v>122</v>
      </c>
      <c r="D67" t="s">
        <v>51</v>
      </c>
      <c r="E67" t="s">
        <v>52</v>
      </c>
      <c r="F67" t="s">
        <v>34</v>
      </c>
      <c r="G67" t="s">
        <v>35</v>
      </c>
      <c r="H67" t="s">
        <v>199</v>
      </c>
      <c r="I67">
        <v>1</v>
      </c>
      <c r="J67">
        <v>99.99</v>
      </c>
      <c r="K67">
        <v>0.1</v>
      </c>
      <c r="L67" t="s">
        <v>23</v>
      </c>
      <c r="M67">
        <v>99.99</v>
      </c>
      <c r="N67">
        <v>10</v>
      </c>
      <c r="O67">
        <v>89.99</v>
      </c>
    </row>
    <row r="68" spans="1:15" x14ac:dyDescent="0.3">
      <c r="A68" t="s">
        <v>241</v>
      </c>
      <c r="B68" t="s">
        <v>242</v>
      </c>
      <c r="C68" t="s">
        <v>243</v>
      </c>
      <c r="D68" t="s">
        <v>51</v>
      </c>
      <c r="E68" t="s">
        <v>108</v>
      </c>
      <c r="F68" t="s">
        <v>20</v>
      </c>
      <c r="G68" t="s">
        <v>74</v>
      </c>
      <c r="H68" t="s">
        <v>143</v>
      </c>
      <c r="I68">
        <v>5</v>
      </c>
      <c r="J68">
        <v>99.99</v>
      </c>
      <c r="K68">
        <v>0.15</v>
      </c>
      <c r="L68" t="s">
        <v>37</v>
      </c>
      <c r="M68">
        <v>499.95</v>
      </c>
      <c r="N68">
        <v>74.989999999999995</v>
      </c>
      <c r="O68">
        <v>424.96</v>
      </c>
    </row>
    <row r="69" spans="1:15" x14ac:dyDescent="0.3">
      <c r="A69" t="s">
        <v>244</v>
      </c>
      <c r="B69" t="s">
        <v>245</v>
      </c>
      <c r="C69" t="s">
        <v>129</v>
      </c>
      <c r="D69" t="s">
        <v>32</v>
      </c>
      <c r="E69" t="s">
        <v>45</v>
      </c>
      <c r="F69" t="s">
        <v>34</v>
      </c>
      <c r="G69" t="s">
        <v>62</v>
      </c>
      <c r="H69" t="s">
        <v>124</v>
      </c>
      <c r="I69">
        <v>3</v>
      </c>
      <c r="J69">
        <v>399.99</v>
      </c>
      <c r="K69">
        <v>0.1</v>
      </c>
      <c r="L69" t="s">
        <v>80</v>
      </c>
      <c r="M69">
        <v>1199.97</v>
      </c>
      <c r="N69">
        <v>120</v>
      </c>
      <c r="O69">
        <v>1079.97</v>
      </c>
    </row>
    <row r="70" spans="1:15" x14ac:dyDescent="0.3">
      <c r="A70" t="s">
        <v>246</v>
      </c>
      <c r="B70" t="s">
        <v>247</v>
      </c>
      <c r="C70" t="s">
        <v>248</v>
      </c>
      <c r="D70" t="s">
        <v>27</v>
      </c>
      <c r="E70" t="s">
        <v>67</v>
      </c>
      <c r="F70" t="s">
        <v>34</v>
      </c>
      <c r="G70" t="s">
        <v>62</v>
      </c>
      <c r="H70" t="s">
        <v>249</v>
      </c>
      <c r="I70">
        <v>4</v>
      </c>
      <c r="J70">
        <v>49.99</v>
      </c>
      <c r="K70">
        <v>0</v>
      </c>
      <c r="L70" t="s">
        <v>23</v>
      </c>
      <c r="M70">
        <v>199.96</v>
      </c>
      <c r="N70">
        <v>0</v>
      </c>
      <c r="O70">
        <v>199.96</v>
      </c>
    </row>
    <row r="71" spans="1:15" x14ac:dyDescent="0.3">
      <c r="A71" t="s">
        <v>250</v>
      </c>
      <c r="B71" t="s">
        <v>251</v>
      </c>
      <c r="C71" t="s">
        <v>83</v>
      </c>
      <c r="D71" t="s">
        <v>51</v>
      </c>
      <c r="E71" t="s">
        <v>52</v>
      </c>
      <c r="F71" t="s">
        <v>34</v>
      </c>
      <c r="G71" t="s">
        <v>35</v>
      </c>
      <c r="H71" t="s">
        <v>36</v>
      </c>
      <c r="I71">
        <v>5</v>
      </c>
      <c r="J71">
        <v>79.989999999999995</v>
      </c>
      <c r="K71">
        <v>0.1</v>
      </c>
      <c r="L71" t="s">
        <v>37</v>
      </c>
      <c r="M71">
        <v>399.95</v>
      </c>
      <c r="N71">
        <v>40</v>
      </c>
      <c r="O71">
        <v>359.95</v>
      </c>
    </row>
    <row r="72" spans="1:15" x14ac:dyDescent="0.3">
      <c r="A72" t="s">
        <v>252</v>
      </c>
      <c r="B72" t="s">
        <v>253</v>
      </c>
      <c r="C72" t="s">
        <v>254</v>
      </c>
      <c r="D72" t="s">
        <v>27</v>
      </c>
      <c r="E72" t="s">
        <v>67</v>
      </c>
      <c r="F72" t="s">
        <v>34</v>
      </c>
      <c r="G72" t="s">
        <v>57</v>
      </c>
      <c r="H72" t="s">
        <v>58</v>
      </c>
      <c r="I72">
        <v>4</v>
      </c>
      <c r="J72">
        <v>89.99</v>
      </c>
      <c r="K72">
        <v>0</v>
      </c>
      <c r="L72" t="s">
        <v>37</v>
      </c>
      <c r="M72">
        <v>359.96</v>
      </c>
      <c r="N72">
        <v>0</v>
      </c>
      <c r="O72">
        <v>359.96</v>
      </c>
    </row>
    <row r="73" spans="1:15" x14ac:dyDescent="0.3">
      <c r="A73" t="s">
        <v>255</v>
      </c>
      <c r="B73" t="s">
        <v>114</v>
      </c>
      <c r="C73" t="s">
        <v>256</v>
      </c>
      <c r="D73" t="s">
        <v>18</v>
      </c>
      <c r="E73" t="s">
        <v>19</v>
      </c>
      <c r="F73" t="s">
        <v>34</v>
      </c>
      <c r="G73" t="s">
        <v>21</v>
      </c>
      <c r="H73" t="s">
        <v>46</v>
      </c>
      <c r="I73">
        <v>4</v>
      </c>
      <c r="J73">
        <v>119.99</v>
      </c>
      <c r="K73">
        <v>0</v>
      </c>
      <c r="L73" t="s">
        <v>37</v>
      </c>
      <c r="M73">
        <v>479.96</v>
      </c>
      <c r="N73">
        <v>0</v>
      </c>
      <c r="O73">
        <v>479.96</v>
      </c>
    </row>
    <row r="74" spans="1:15" x14ac:dyDescent="0.3">
      <c r="A74" t="s">
        <v>257</v>
      </c>
      <c r="B74" t="s">
        <v>94</v>
      </c>
      <c r="C74" t="s">
        <v>258</v>
      </c>
      <c r="D74" t="s">
        <v>32</v>
      </c>
      <c r="E74" t="s">
        <v>45</v>
      </c>
      <c r="F74" t="s">
        <v>34</v>
      </c>
      <c r="G74" t="s">
        <v>57</v>
      </c>
      <c r="H74" t="s">
        <v>189</v>
      </c>
      <c r="I74">
        <v>5</v>
      </c>
      <c r="J74">
        <v>119.99</v>
      </c>
      <c r="K74">
        <v>0</v>
      </c>
      <c r="L74" t="s">
        <v>23</v>
      </c>
      <c r="M74">
        <v>599.95000000000005</v>
      </c>
      <c r="N74">
        <v>0</v>
      </c>
      <c r="O74">
        <v>599.95000000000005</v>
      </c>
    </row>
    <row r="75" spans="1:15" x14ac:dyDescent="0.3">
      <c r="A75" t="s">
        <v>259</v>
      </c>
      <c r="B75" t="s">
        <v>121</v>
      </c>
      <c r="C75" t="s">
        <v>44</v>
      </c>
      <c r="D75" t="s">
        <v>72</v>
      </c>
      <c r="E75" t="s">
        <v>152</v>
      </c>
      <c r="F75" t="s">
        <v>20</v>
      </c>
      <c r="G75" t="s">
        <v>62</v>
      </c>
      <c r="H75" t="s">
        <v>63</v>
      </c>
      <c r="I75">
        <v>4</v>
      </c>
      <c r="J75">
        <v>199.99</v>
      </c>
      <c r="K75">
        <v>0</v>
      </c>
      <c r="L75" t="s">
        <v>23</v>
      </c>
      <c r="M75">
        <v>799.96</v>
      </c>
      <c r="N75">
        <v>0</v>
      </c>
      <c r="O75">
        <v>799.96</v>
      </c>
    </row>
    <row r="76" spans="1:15" x14ac:dyDescent="0.3">
      <c r="A76" t="s">
        <v>260</v>
      </c>
      <c r="B76" t="s">
        <v>261</v>
      </c>
      <c r="C76" t="s">
        <v>262</v>
      </c>
      <c r="D76" t="s">
        <v>32</v>
      </c>
      <c r="E76" t="s">
        <v>33</v>
      </c>
      <c r="F76" t="s">
        <v>34</v>
      </c>
      <c r="G76" t="s">
        <v>35</v>
      </c>
      <c r="H76" t="s">
        <v>134</v>
      </c>
      <c r="I76">
        <v>4</v>
      </c>
      <c r="J76">
        <v>139.99</v>
      </c>
      <c r="K76">
        <v>0.1</v>
      </c>
      <c r="L76" t="s">
        <v>37</v>
      </c>
      <c r="M76">
        <v>559.96</v>
      </c>
      <c r="N76">
        <v>56</v>
      </c>
      <c r="O76">
        <v>503.96</v>
      </c>
    </row>
    <row r="77" spans="1:15" x14ac:dyDescent="0.3">
      <c r="A77" t="s">
        <v>263</v>
      </c>
      <c r="B77" t="s">
        <v>264</v>
      </c>
      <c r="C77" t="s">
        <v>265</v>
      </c>
      <c r="D77" t="s">
        <v>18</v>
      </c>
      <c r="E77" t="s">
        <v>56</v>
      </c>
      <c r="F77" t="s">
        <v>20</v>
      </c>
      <c r="G77" t="s">
        <v>57</v>
      </c>
      <c r="H77" t="s">
        <v>130</v>
      </c>
      <c r="I77">
        <v>3</v>
      </c>
      <c r="J77">
        <v>109.99</v>
      </c>
      <c r="K77">
        <v>0</v>
      </c>
      <c r="L77" t="s">
        <v>37</v>
      </c>
      <c r="M77">
        <v>329.97</v>
      </c>
      <c r="N77">
        <v>0</v>
      </c>
      <c r="O77">
        <v>329.97</v>
      </c>
    </row>
    <row r="78" spans="1:15" x14ac:dyDescent="0.3">
      <c r="A78" t="s">
        <v>266</v>
      </c>
      <c r="B78" t="s">
        <v>267</v>
      </c>
      <c r="C78" t="s">
        <v>268</v>
      </c>
      <c r="D78" t="s">
        <v>51</v>
      </c>
      <c r="E78" t="s">
        <v>108</v>
      </c>
      <c r="F78" t="s">
        <v>34</v>
      </c>
      <c r="G78" t="s">
        <v>21</v>
      </c>
      <c r="H78" t="s">
        <v>68</v>
      </c>
      <c r="I78">
        <v>6</v>
      </c>
      <c r="J78">
        <v>129.99</v>
      </c>
      <c r="K78">
        <v>0.05</v>
      </c>
      <c r="L78" t="s">
        <v>80</v>
      </c>
      <c r="M78">
        <v>779.94</v>
      </c>
      <c r="N78">
        <v>39</v>
      </c>
      <c r="O78">
        <v>740.94</v>
      </c>
    </row>
    <row r="79" spans="1:15" x14ac:dyDescent="0.3">
      <c r="A79" t="s">
        <v>269</v>
      </c>
      <c r="B79" t="s">
        <v>270</v>
      </c>
      <c r="C79" t="s">
        <v>271</v>
      </c>
      <c r="D79" t="s">
        <v>51</v>
      </c>
      <c r="E79" t="s">
        <v>52</v>
      </c>
      <c r="F79" t="s">
        <v>20</v>
      </c>
      <c r="G79" t="s">
        <v>35</v>
      </c>
      <c r="H79" t="s">
        <v>134</v>
      </c>
      <c r="I79">
        <v>2</v>
      </c>
      <c r="J79">
        <v>139.99</v>
      </c>
      <c r="K79">
        <v>0</v>
      </c>
      <c r="L79" t="s">
        <v>37</v>
      </c>
      <c r="M79">
        <v>279.98</v>
      </c>
      <c r="N79">
        <v>0</v>
      </c>
      <c r="O79">
        <v>279.98</v>
      </c>
    </row>
    <row r="80" spans="1:15" x14ac:dyDescent="0.3">
      <c r="A80" t="s">
        <v>272</v>
      </c>
      <c r="B80" t="s">
        <v>273</v>
      </c>
      <c r="C80" t="s">
        <v>274</v>
      </c>
      <c r="D80" t="s">
        <v>32</v>
      </c>
      <c r="E80" t="s">
        <v>33</v>
      </c>
      <c r="F80" t="s">
        <v>34</v>
      </c>
      <c r="G80" t="s">
        <v>21</v>
      </c>
      <c r="H80" t="s">
        <v>22</v>
      </c>
      <c r="I80">
        <v>6</v>
      </c>
      <c r="J80">
        <v>89.99</v>
      </c>
      <c r="K80">
        <v>0</v>
      </c>
      <c r="L80" t="s">
        <v>80</v>
      </c>
      <c r="M80">
        <v>539.94000000000005</v>
      </c>
      <c r="N80">
        <v>0</v>
      </c>
      <c r="O80">
        <v>539.94000000000005</v>
      </c>
    </row>
    <row r="81" spans="1:15" x14ac:dyDescent="0.3">
      <c r="A81" t="s">
        <v>275</v>
      </c>
      <c r="B81" t="s">
        <v>276</v>
      </c>
      <c r="C81" t="s">
        <v>277</v>
      </c>
      <c r="D81" t="s">
        <v>72</v>
      </c>
      <c r="E81" t="s">
        <v>152</v>
      </c>
      <c r="F81" t="s">
        <v>20</v>
      </c>
      <c r="G81" t="s">
        <v>21</v>
      </c>
      <c r="H81" t="s">
        <v>87</v>
      </c>
      <c r="I81">
        <v>4</v>
      </c>
      <c r="J81">
        <v>149.99</v>
      </c>
      <c r="K81">
        <v>0</v>
      </c>
      <c r="L81" t="s">
        <v>37</v>
      </c>
      <c r="M81">
        <v>599.96</v>
      </c>
      <c r="N81">
        <v>0</v>
      </c>
      <c r="O81">
        <v>599.96</v>
      </c>
    </row>
    <row r="82" spans="1:15" x14ac:dyDescent="0.3">
      <c r="A82" t="s">
        <v>278</v>
      </c>
      <c r="B82" t="s">
        <v>110</v>
      </c>
      <c r="C82" t="s">
        <v>279</v>
      </c>
      <c r="D82" t="s">
        <v>27</v>
      </c>
      <c r="E82" t="s">
        <v>67</v>
      </c>
      <c r="F82" t="s">
        <v>20</v>
      </c>
      <c r="G82" t="s">
        <v>74</v>
      </c>
      <c r="H82" t="s">
        <v>112</v>
      </c>
      <c r="I82">
        <v>4</v>
      </c>
      <c r="J82">
        <v>129.99</v>
      </c>
      <c r="K82">
        <v>0</v>
      </c>
      <c r="L82" t="s">
        <v>47</v>
      </c>
      <c r="M82">
        <v>519.96</v>
      </c>
      <c r="N82">
        <v>0</v>
      </c>
      <c r="O82">
        <v>519.96</v>
      </c>
    </row>
    <row r="83" spans="1:15" x14ac:dyDescent="0.3">
      <c r="A83" t="s">
        <v>280</v>
      </c>
      <c r="B83" t="s">
        <v>281</v>
      </c>
      <c r="C83" t="s">
        <v>282</v>
      </c>
      <c r="D83" t="s">
        <v>27</v>
      </c>
      <c r="E83" t="s">
        <v>28</v>
      </c>
      <c r="F83" t="s">
        <v>20</v>
      </c>
      <c r="G83" t="s">
        <v>35</v>
      </c>
      <c r="H83" t="s">
        <v>134</v>
      </c>
      <c r="I83">
        <v>1</v>
      </c>
      <c r="J83">
        <v>139.99</v>
      </c>
      <c r="K83">
        <v>0.1</v>
      </c>
      <c r="L83" t="s">
        <v>23</v>
      </c>
      <c r="M83">
        <v>139.99</v>
      </c>
      <c r="N83">
        <v>14</v>
      </c>
      <c r="O83">
        <v>125.99</v>
      </c>
    </row>
    <row r="84" spans="1:15" x14ac:dyDescent="0.3">
      <c r="A84" t="s">
        <v>283</v>
      </c>
      <c r="B84" t="s">
        <v>284</v>
      </c>
      <c r="C84" t="s">
        <v>133</v>
      </c>
      <c r="D84" t="s">
        <v>18</v>
      </c>
      <c r="E84" t="s">
        <v>56</v>
      </c>
      <c r="F84" t="s">
        <v>20</v>
      </c>
      <c r="G84" t="s">
        <v>74</v>
      </c>
      <c r="H84" t="s">
        <v>75</v>
      </c>
      <c r="I84">
        <v>3</v>
      </c>
      <c r="J84">
        <v>299.99</v>
      </c>
      <c r="K84">
        <v>0.1</v>
      </c>
      <c r="L84" t="s">
        <v>47</v>
      </c>
      <c r="M84">
        <v>899.97</v>
      </c>
      <c r="N84">
        <v>90</v>
      </c>
      <c r="O84">
        <v>809.97</v>
      </c>
    </row>
    <row r="85" spans="1:15" x14ac:dyDescent="0.3">
      <c r="A85" t="s">
        <v>285</v>
      </c>
      <c r="B85" t="s">
        <v>43</v>
      </c>
      <c r="C85" t="s">
        <v>286</v>
      </c>
      <c r="D85" t="s">
        <v>27</v>
      </c>
      <c r="E85" t="s">
        <v>28</v>
      </c>
      <c r="F85" t="s">
        <v>20</v>
      </c>
      <c r="G85" t="s">
        <v>35</v>
      </c>
      <c r="H85" t="s">
        <v>134</v>
      </c>
      <c r="I85">
        <v>2</v>
      </c>
      <c r="J85">
        <v>139.99</v>
      </c>
      <c r="K85">
        <v>0</v>
      </c>
      <c r="L85" t="s">
        <v>80</v>
      </c>
      <c r="M85">
        <v>279.98</v>
      </c>
      <c r="N85">
        <v>0</v>
      </c>
      <c r="O85">
        <v>279.98</v>
      </c>
    </row>
    <row r="86" spans="1:15" x14ac:dyDescent="0.3">
      <c r="A86" t="s">
        <v>287</v>
      </c>
      <c r="B86" t="s">
        <v>288</v>
      </c>
      <c r="C86" t="s">
        <v>289</v>
      </c>
      <c r="D86" t="s">
        <v>32</v>
      </c>
      <c r="E86" t="s">
        <v>33</v>
      </c>
      <c r="F86" t="s">
        <v>34</v>
      </c>
      <c r="G86" t="s">
        <v>74</v>
      </c>
      <c r="H86" t="s">
        <v>75</v>
      </c>
      <c r="I86">
        <v>3</v>
      </c>
      <c r="J86">
        <v>299.99</v>
      </c>
      <c r="K86">
        <v>0</v>
      </c>
      <c r="L86" t="s">
        <v>23</v>
      </c>
      <c r="M86">
        <v>899.97</v>
      </c>
      <c r="N86">
        <v>0</v>
      </c>
      <c r="O86">
        <v>899.97</v>
      </c>
    </row>
    <row r="87" spans="1:15" x14ac:dyDescent="0.3">
      <c r="A87" t="s">
        <v>290</v>
      </c>
      <c r="B87" t="s">
        <v>291</v>
      </c>
      <c r="C87" t="s">
        <v>174</v>
      </c>
      <c r="D87" t="s">
        <v>18</v>
      </c>
      <c r="E87" t="s">
        <v>19</v>
      </c>
      <c r="F87" t="s">
        <v>20</v>
      </c>
      <c r="G87" t="s">
        <v>21</v>
      </c>
      <c r="H87" t="s">
        <v>68</v>
      </c>
      <c r="I87">
        <v>4</v>
      </c>
      <c r="J87">
        <v>129.99</v>
      </c>
      <c r="K87">
        <v>0</v>
      </c>
      <c r="L87" t="s">
        <v>37</v>
      </c>
      <c r="M87">
        <v>519.96</v>
      </c>
      <c r="N87">
        <v>0</v>
      </c>
      <c r="O87">
        <v>519.96</v>
      </c>
    </row>
    <row r="88" spans="1:15" x14ac:dyDescent="0.3">
      <c r="A88" t="s">
        <v>292</v>
      </c>
      <c r="B88" t="s">
        <v>293</v>
      </c>
      <c r="C88" t="s">
        <v>294</v>
      </c>
      <c r="D88" t="s">
        <v>27</v>
      </c>
      <c r="E88" t="s">
        <v>28</v>
      </c>
      <c r="F88" t="s">
        <v>34</v>
      </c>
      <c r="G88" t="s">
        <v>35</v>
      </c>
      <c r="H88" t="s">
        <v>199</v>
      </c>
      <c r="I88">
        <v>3</v>
      </c>
      <c r="J88">
        <v>99.99</v>
      </c>
      <c r="K88">
        <v>0.1</v>
      </c>
      <c r="L88" t="s">
        <v>23</v>
      </c>
      <c r="M88">
        <v>299.97000000000003</v>
      </c>
      <c r="N88">
        <v>30</v>
      </c>
      <c r="O88">
        <v>269.97000000000003</v>
      </c>
    </row>
    <row r="89" spans="1:15" x14ac:dyDescent="0.3">
      <c r="A89" t="s">
        <v>295</v>
      </c>
      <c r="B89" t="s">
        <v>296</v>
      </c>
      <c r="C89" t="s">
        <v>297</v>
      </c>
      <c r="D89" t="s">
        <v>18</v>
      </c>
      <c r="E89" t="s">
        <v>56</v>
      </c>
      <c r="F89" t="s">
        <v>34</v>
      </c>
      <c r="G89" t="s">
        <v>21</v>
      </c>
      <c r="H89" t="s">
        <v>46</v>
      </c>
      <c r="I89">
        <v>3</v>
      </c>
      <c r="J89">
        <v>119.99</v>
      </c>
      <c r="K89">
        <v>0.1</v>
      </c>
      <c r="L89" t="s">
        <v>80</v>
      </c>
      <c r="M89">
        <v>359.97</v>
      </c>
      <c r="N89">
        <v>36</v>
      </c>
      <c r="O89">
        <v>323.97000000000003</v>
      </c>
    </row>
    <row r="90" spans="1:15" x14ac:dyDescent="0.3">
      <c r="A90" t="s">
        <v>298</v>
      </c>
      <c r="B90" t="s">
        <v>240</v>
      </c>
      <c r="C90" t="s">
        <v>78</v>
      </c>
      <c r="D90" t="s">
        <v>72</v>
      </c>
      <c r="E90" t="s">
        <v>152</v>
      </c>
      <c r="F90" t="s">
        <v>20</v>
      </c>
      <c r="G90" t="s">
        <v>62</v>
      </c>
      <c r="H90" t="s">
        <v>124</v>
      </c>
      <c r="I90">
        <v>5</v>
      </c>
      <c r="J90">
        <v>399.99</v>
      </c>
      <c r="K90">
        <v>0</v>
      </c>
      <c r="L90" t="s">
        <v>80</v>
      </c>
      <c r="M90">
        <v>1999.95</v>
      </c>
      <c r="N90">
        <v>0</v>
      </c>
      <c r="O90">
        <v>1999.95</v>
      </c>
    </row>
    <row r="91" spans="1:15" x14ac:dyDescent="0.3">
      <c r="A91" t="s">
        <v>299</v>
      </c>
      <c r="B91" t="s">
        <v>194</v>
      </c>
      <c r="C91" t="s">
        <v>206</v>
      </c>
      <c r="D91" t="s">
        <v>51</v>
      </c>
      <c r="E91" t="s">
        <v>52</v>
      </c>
      <c r="F91" t="s">
        <v>34</v>
      </c>
      <c r="G91" t="s">
        <v>57</v>
      </c>
      <c r="H91" t="s">
        <v>300</v>
      </c>
      <c r="I91">
        <v>5</v>
      </c>
      <c r="J91">
        <v>179.99</v>
      </c>
      <c r="K91">
        <v>0.15</v>
      </c>
      <c r="L91" t="s">
        <v>47</v>
      </c>
      <c r="M91">
        <v>899.95</v>
      </c>
      <c r="N91">
        <v>134.99</v>
      </c>
      <c r="O91">
        <v>764.96</v>
      </c>
    </row>
    <row r="92" spans="1:15" x14ac:dyDescent="0.3">
      <c r="A92" t="s">
        <v>301</v>
      </c>
      <c r="B92" t="s">
        <v>302</v>
      </c>
      <c r="C92" t="s">
        <v>303</v>
      </c>
      <c r="D92" t="s">
        <v>72</v>
      </c>
      <c r="E92" t="s">
        <v>73</v>
      </c>
      <c r="F92" t="s">
        <v>34</v>
      </c>
      <c r="G92" t="s">
        <v>62</v>
      </c>
      <c r="H92" t="s">
        <v>79</v>
      </c>
      <c r="I92">
        <v>4</v>
      </c>
      <c r="J92">
        <v>249.99</v>
      </c>
      <c r="K92">
        <v>0</v>
      </c>
      <c r="L92" t="s">
        <v>80</v>
      </c>
      <c r="M92">
        <v>999.96</v>
      </c>
      <c r="N92">
        <v>0</v>
      </c>
      <c r="O92">
        <v>999.96</v>
      </c>
    </row>
    <row r="93" spans="1:15" x14ac:dyDescent="0.3">
      <c r="A93" t="s">
        <v>304</v>
      </c>
      <c r="B93" t="s">
        <v>305</v>
      </c>
      <c r="C93" t="s">
        <v>306</v>
      </c>
      <c r="D93" t="s">
        <v>72</v>
      </c>
      <c r="E93" t="s">
        <v>152</v>
      </c>
      <c r="F93" t="s">
        <v>20</v>
      </c>
      <c r="G93" t="s">
        <v>35</v>
      </c>
      <c r="H93" t="s">
        <v>134</v>
      </c>
      <c r="I93">
        <v>3</v>
      </c>
      <c r="J93">
        <v>139.99</v>
      </c>
      <c r="K93">
        <v>0.15</v>
      </c>
      <c r="L93" t="s">
        <v>23</v>
      </c>
      <c r="M93">
        <v>419.97</v>
      </c>
      <c r="N93">
        <v>63</v>
      </c>
      <c r="O93">
        <v>356.97</v>
      </c>
    </row>
    <row r="94" spans="1:15" x14ac:dyDescent="0.3">
      <c r="A94" t="s">
        <v>307</v>
      </c>
      <c r="B94" t="s">
        <v>308</v>
      </c>
      <c r="C94" t="s">
        <v>309</v>
      </c>
      <c r="D94" t="s">
        <v>18</v>
      </c>
      <c r="E94" t="s">
        <v>56</v>
      </c>
      <c r="F94" t="s">
        <v>20</v>
      </c>
      <c r="G94" t="s">
        <v>21</v>
      </c>
      <c r="H94" t="s">
        <v>87</v>
      </c>
      <c r="I94">
        <v>1</v>
      </c>
      <c r="J94">
        <v>149.99</v>
      </c>
      <c r="K94">
        <v>0.05</v>
      </c>
      <c r="L94" t="s">
        <v>23</v>
      </c>
      <c r="M94">
        <v>149.99</v>
      </c>
      <c r="N94">
        <v>7.5</v>
      </c>
      <c r="O94">
        <v>142.49</v>
      </c>
    </row>
    <row r="95" spans="1:15" x14ac:dyDescent="0.3">
      <c r="A95" t="s">
        <v>310</v>
      </c>
      <c r="B95" t="s">
        <v>311</v>
      </c>
      <c r="C95" t="s">
        <v>312</v>
      </c>
      <c r="D95" t="s">
        <v>51</v>
      </c>
      <c r="E95" t="s">
        <v>52</v>
      </c>
      <c r="F95" t="s">
        <v>20</v>
      </c>
      <c r="G95" t="s">
        <v>74</v>
      </c>
      <c r="H95" t="s">
        <v>112</v>
      </c>
      <c r="I95">
        <v>5</v>
      </c>
      <c r="J95">
        <v>129.99</v>
      </c>
      <c r="K95">
        <v>0.05</v>
      </c>
      <c r="L95" t="s">
        <v>47</v>
      </c>
      <c r="M95">
        <v>649.95000000000005</v>
      </c>
      <c r="N95">
        <v>32.5</v>
      </c>
      <c r="O95">
        <v>617.45000000000005</v>
      </c>
    </row>
    <row r="96" spans="1:15" x14ac:dyDescent="0.3">
      <c r="A96" t="s">
        <v>313</v>
      </c>
      <c r="B96" t="s">
        <v>314</v>
      </c>
      <c r="C96" t="s">
        <v>315</v>
      </c>
      <c r="D96" t="s">
        <v>18</v>
      </c>
      <c r="E96" t="s">
        <v>56</v>
      </c>
      <c r="F96" t="s">
        <v>20</v>
      </c>
      <c r="G96" t="s">
        <v>57</v>
      </c>
      <c r="H96" t="s">
        <v>58</v>
      </c>
      <c r="I96">
        <v>6</v>
      </c>
      <c r="J96">
        <v>89.99</v>
      </c>
      <c r="K96">
        <v>0.05</v>
      </c>
      <c r="L96" t="s">
        <v>47</v>
      </c>
      <c r="M96">
        <v>539.94000000000005</v>
      </c>
      <c r="N96">
        <v>27</v>
      </c>
      <c r="O96">
        <v>512.94000000000005</v>
      </c>
    </row>
    <row r="97" spans="1:15" x14ac:dyDescent="0.3">
      <c r="A97" t="s">
        <v>316</v>
      </c>
      <c r="B97" t="s">
        <v>317</v>
      </c>
      <c r="C97" t="s">
        <v>318</v>
      </c>
      <c r="D97" t="s">
        <v>32</v>
      </c>
      <c r="E97" t="s">
        <v>33</v>
      </c>
      <c r="F97" t="s">
        <v>20</v>
      </c>
      <c r="G97" t="s">
        <v>57</v>
      </c>
      <c r="H97" t="s">
        <v>300</v>
      </c>
      <c r="I97">
        <v>1</v>
      </c>
      <c r="J97">
        <v>179.99</v>
      </c>
      <c r="K97">
        <v>0</v>
      </c>
      <c r="L97" t="s">
        <v>47</v>
      </c>
      <c r="M97">
        <v>179.99</v>
      </c>
      <c r="N97">
        <v>0</v>
      </c>
      <c r="O97">
        <v>179.99</v>
      </c>
    </row>
    <row r="98" spans="1:15" x14ac:dyDescent="0.3">
      <c r="A98" t="s">
        <v>319</v>
      </c>
      <c r="B98" t="s">
        <v>320</v>
      </c>
      <c r="C98" t="s">
        <v>243</v>
      </c>
      <c r="D98" t="s">
        <v>18</v>
      </c>
      <c r="E98" t="s">
        <v>56</v>
      </c>
      <c r="F98" t="s">
        <v>34</v>
      </c>
      <c r="G98" t="s">
        <v>74</v>
      </c>
      <c r="H98" t="s">
        <v>143</v>
      </c>
      <c r="I98">
        <v>4</v>
      </c>
      <c r="J98">
        <v>99.99</v>
      </c>
      <c r="K98">
        <v>0.05</v>
      </c>
      <c r="L98" t="s">
        <v>47</v>
      </c>
      <c r="M98">
        <v>399.96</v>
      </c>
      <c r="N98">
        <v>20</v>
      </c>
      <c r="O98">
        <v>379.96</v>
      </c>
    </row>
    <row r="99" spans="1:15" x14ac:dyDescent="0.3">
      <c r="A99" t="s">
        <v>321</v>
      </c>
      <c r="B99" t="s">
        <v>322</v>
      </c>
      <c r="C99" t="s">
        <v>323</v>
      </c>
      <c r="D99" t="s">
        <v>32</v>
      </c>
      <c r="E99" t="s">
        <v>45</v>
      </c>
      <c r="F99" t="s">
        <v>34</v>
      </c>
      <c r="G99" t="s">
        <v>74</v>
      </c>
      <c r="H99" t="s">
        <v>112</v>
      </c>
      <c r="I99">
        <v>1</v>
      </c>
      <c r="J99">
        <v>129.99</v>
      </c>
      <c r="K99">
        <v>0</v>
      </c>
      <c r="L99" t="s">
        <v>80</v>
      </c>
      <c r="M99">
        <v>129.99</v>
      </c>
      <c r="N99">
        <v>0</v>
      </c>
      <c r="O99">
        <v>129.99</v>
      </c>
    </row>
    <row r="100" spans="1:15" x14ac:dyDescent="0.3">
      <c r="A100" t="s">
        <v>324</v>
      </c>
      <c r="B100" t="s">
        <v>223</v>
      </c>
      <c r="C100" t="s">
        <v>325</v>
      </c>
      <c r="D100" t="s">
        <v>32</v>
      </c>
      <c r="E100" t="s">
        <v>33</v>
      </c>
      <c r="F100" t="s">
        <v>34</v>
      </c>
      <c r="G100" t="s">
        <v>57</v>
      </c>
      <c r="H100" t="s">
        <v>189</v>
      </c>
      <c r="I100">
        <v>2</v>
      </c>
      <c r="J100">
        <v>119.99</v>
      </c>
      <c r="K100">
        <v>0.05</v>
      </c>
      <c r="L100" t="s">
        <v>37</v>
      </c>
      <c r="M100">
        <v>239.98</v>
      </c>
      <c r="N100">
        <v>12</v>
      </c>
      <c r="O100">
        <v>227.98</v>
      </c>
    </row>
    <row r="101" spans="1:15" x14ac:dyDescent="0.3">
      <c r="A101" t="s">
        <v>326</v>
      </c>
      <c r="B101" t="s">
        <v>327</v>
      </c>
      <c r="C101" t="s">
        <v>328</v>
      </c>
      <c r="D101" t="s">
        <v>72</v>
      </c>
      <c r="E101" t="s">
        <v>152</v>
      </c>
      <c r="F101" t="s">
        <v>34</v>
      </c>
      <c r="G101" t="s">
        <v>62</v>
      </c>
      <c r="H101" t="s">
        <v>79</v>
      </c>
      <c r="I101">
        <v>2</v>
      </c>
      <c r="J101">
        <v>249.99</v>
      </c>
      <c r="K101">
        <v>0.15</v>
      </c>
      <c r="L101" t="s">
        <v>47</v>
      </c>
      <c r="M101">
        <v>499.98</v>
      </c>
      <c r="N101">
        <v>75</v>
      </c>
      <c r="O101">
        <v>424.98</v>
      </c>
    </row>
    <row r="102" spans="1:15" x14ac:dyDescent="0.3">
      <c r="A102" t="s">
        <v>329</v>
      </c>
      <c r="B102" t="s">
        <v>330</v>
      </c>
      <c r="C102" t="s">
        <v>129</v>
      </c>
      <c r="D102" t="s">
        <v>18</v>
      </c>
      <c r="E102" t="s">
        <v>56</v>
      </c>
      <c r="F102" t="s">
        <v>20</v>
      </c>
      <c r="G102" t="s">
        <v>74</v>
      </c>
      <c r="H102" t="s">
        <v>112</v>
      </c>
      <c r="I102">
        <v>6</v>
      </c>
      <c r="J102">
        <v>129.99</v>
      </c>
      <c r="K102">
        <v>0.05</v>
      </c>
      <c r="L102" t="s">
        <v>23</v>
      </c>
      <c r="M102">
        <v>779.94</v>
      </c>
      <c r="N102">
        <v>39</v>
      </c>
      <c r="O102">
        <v>740.94</v>
      </c>
    </row>
    <row r="103" spans="1:15" x14ac:dyDescent="0.3">
      <c r="A103" t="s">
        <v>331</v>
      </c>
      <c r="B103" t="s">
        <v>49</v>
      </c>
      <c r="C103" t="s">
        <v>332</v>
      </c>
      <c r="D103" t="s">
        <v>32</v>
      </c>
      <c r="E103" t="s">
        <v>33</v>
      </c>
      <c r="F103" t="s">
        <v>34</v>
      </c>
      <c r="G103" t="s">
        <v>21</v>
      </c>
      <c r="H103" t="s">
        <v>68</v>
      </c>
      <c r="I103">
        <v>1</v>
      </c>
      <c r="J103">
        <v>129.99</v>
      </c>
      <c r="K103">
        <v>0.05</v>
      </c>
      <c r="L103" t="s">
        <v>80</v>
      </c>
      <c r="M103">
        <v>129.99</v>
      </c>
      <c r="N103">
        <v>6.5</v>
      </c>
      <c r="O103">
        <v>123.49</v>
      </c>
    </row>
    <row r="104" spans="1:15" x14ac:dyDescent="0.3">
      <c r="A104" t="s">
        <v>333</v>
      </c>
      <c r="B104" t="s">
        <v>334</v>
      </c>
      <c r="C104" t="s">
        <v>185</v>
      </c>
      <c r="D104" t="s">
        <v>51</v>
      </c>
      <c r="E104" t="s">
        <v>108</v>
      </c>
      <c r="F104" t="s">
        <v>34</v>
      </c>
      <c r="G104" t="s">
        <v>35</v>
      </c>
      <c r="H104" t="s">
        <v>36</v>
      </c>
      <c r="I104">
        <v>4</v>
      </c>
      <c r="J104">
        <v>79.989999999999995</v>
      </c>
      <c r="K104">
        <v>0</v>
      </c>
      <c r="L104" t="s">
        <v>80</v>
      </c>
      <c r="M104">
        <v>319.95999999999998</v>
      </c>
      <c r="N104">
        <v>0</v>
      </c>
      <c r="O104">
        <v>319.95999999999998</v>
      </c>
    </row>
    <row r="105" spans="1:15" x14ac:dyDescent="0.3">
      <c r="A105" t="s">
        <v>335</v>
      </c>
      <c r="B105" t="s">
        <v>336</v>
      </c>
      <c r="C105" t="s">
        <v>337</v>
      </c>
      <c r="D105" t="s">
        <v>18</v>
      </c>
      <c r="E105" t="s">
        <v>56</v>
      </c>
      <c r="F105" t="s">
        <v>20</v>
      </c>
      <c r="G105" t="s">
        <v>57</v>
      </c>
      <c r="H105" t="s">
        <v>130</v>
      </c>
      <c r="I105">
        <v>5</v>
      </c>
      <c r="J105">
        <v>109.99</v>
      </c>
      <c r="K105">
        <v>0</v>
      </c>
      <c r="L105" t="s">
        <v>37</v>
      </c>
      <c r="M105">
        <v>549.95000000000005</v>
      </c>
      <c r="N105">
        <v>0</v>
      </c>
      <c r="O105">
        <v>549.95000000000005</v>
      </c>
    </row>
    <row r="106" spans="1:15" x14ac:dyDescent="0.3">
      <c r="A106" t="s">
        <v>338</v>
      </c>
      <c r="B106" t="s">
        <v>49</v>
      </c>
      <c r="C106" t="s">
        <v>312</v>
      </c>
      <c r="D106" t="s">
        <v>72</v>
      </c>
      <c r="E106" t="s">
        <v>73</v>
      </c>
      <c r="F106" t="s">
        <v>20</v>
      </c>
      <c r="G106" t="s">
        <v>35</v>
      </c>
      <c r="H106" t="s">
        <v>199</v>
      </c>
      <c r="I106">
        <v>6</v>
      </c>
      <c r="J106">
        <v>99.99</v>
      </c>
      <c r="K106">
        <v>0.15</v>
      </c>
      <c r="L106" t="s">
        <v>37</v>
      </c>
      <c r="M106">
        <v>599.94000000000005</v>
      </c>
      <c r="N106">
        <v>89.99</v>
      </c>
      <c r="O106">
        <v>509.95</v>
      </c>
    </row>
    <row r="107" spans="1:15" x14ac:dyDescent="0.3">
      <c r="A107" t="s">
        <v>339</v>
      </c>
      <c r="B107" t="s">
        <v>100</v>
      </c>
      <c r="C107" t="s">
        <v>340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>
        <v>3</v>
      </c>
      <c r="J107">
        <v>89.99</v>
      </c>
      <c r="K107">
        <v>0</v>
      </c>
      <c r="L107" t="s">
        <v>47</v>
      </c>
      <c r="M107">
        <v>269.97000000000003</v>
      </c>
      <c r="N107">
        <v>0</v>
      </c>
      <c r="O107">
        <v>269.97000000000003</v>
      </c>
    </row>
    <row r="108" spans="1:15" x14ac:dyDescent="0.3">
      <c r="A108" t="s">
        <v>341</v>
      </c>
      <c r="B108" t="s">
        <v>342</v>
      </c>
      <c r="C108" t="s">
        <v>343</v>
      </c>
      <c r="D108" t="s">
        <v>32</v>
      </c>
      <c r="E108" t="s">
        <v>45</v>
      </c>
      <c r="F108" t="s">
        <v>34</v>
      </c>
      <c r="G108" t="s">
        <v>62</v>
      </c>
      <c r="H108" t="s">
        <v>79</v>
      </c>
      <c r="I108">
        <v>2</v>
      </c>
      <c r="J108">
        <v>249.99</v>
      </c>
      <c r="K108">
        <v>0</v>
      </c>
      <c r="L108" t="s">
        <v>47</v>
      </c>
      <c r="M108">
        <v>499.98</v>
      </c>
      <c r="N108">
        <v>0</v>
      </c>
      <c r="O108">
        <v>499.98</v>
      </c>
    </row>
    <row r="109" spans="1:15" x14ac:dyDescent="0.3">
      <c r="A109" t="s">
        <v>344</v>
      </c>
      <c r="B109" t="s">
        <v>345</v>
      </c>
      <c r="C109" t="s">
        <v>346</v>
      </c>
      <c r="D109" t="s">
        <v>51</v>
      </c>
      <c r="E109" t="s">
        <v>108</v>
      </c>
      <c r="F109" t="s">
        <v>34</v>
      </c>
      <c r="G109" t="s">
        <v>74</v>
      </c>
      <c r="H109" t="s">
        <v>143</v>
      </c>
      <c r="I109">
        <v>4</v>
      </c>
      <c r="J109">
        <v>99.99</v>
      </c>
      <c r="K109">
        <v>0.15</v>
      </c>
      <c r="L109" t="s">
        <v>80</v>
      </c>
      <c r="M109">
        <v>399.96</v>
      </c>
      <c r="N109">
        <v>59.99</v>
      </c>
      <c r="O109">
        <v>339.97</v>
      </c>
    </row>
    <row r="110" spans="1:15" x14ac:dyDescent="0.3">
      <c r="A110" t="s">
        <v>347</v>
      </c>
      <c r="B110" t="s">
        <v>348</v>
      </c>
      <c r="C110" t="s">
        <v>349</v>
      </c>
      <c r="D110" t="s">
        <v>32</v>
      </c>
      <c r="E110" t="s">
        <v>45</v>
      </c>
      <c r="F110" t="s">
        <v>34</v>
      </c>
      <c r="G110" t="s">
        <v>74</v>
      </c>
      <c r="H110" t="s">
        <v>75</v>
      </c>
      <c r="I110">
        <v>1</v>
      </c>
      <c r="J110">
        <v>299.99</v>
      </c>
      <c r="K110">
        <v>0.05</v>
      </c>
      <c r="L110" t="s">
        <v>23</v>
      </c>
      <c r="M110">
        <v>299.99</v>
      </c>
      <c r="N110">
        <v>15</v>
      </c>
      <c r="O110">
        <v>284.99</v>
      </c>
    </row>
    <row r="111" spans="1:15" x14ac:dyDescent="0.3">
      <c r="A111" t="s">
        <v>350</v>
      </c>
      <c r="B111" t="s">
        <v>351</v>
      </c>
      <c r="C111" t="s">
        <v>352</v>
      </c>
      <c r="D111" t="s">
        <v>18</v>
      </c>
      <c r="E111" t="s">
        <v>19</v>
      </c>
      <c r="F111" t="s">
        <v>34</v>
      </c>
      <c r="G111" t="s">
        <v>57</v>
      </c>
      <c r="H111" t="s">
        <v>130</v>
      </c>
      <c r="I111">
        <v>4</v>
      </c>
      <c r="J111">
        <v>109.99</v>
      </c>
      <c r="K111">
        <v>0.05</v>
      </c>
      <c r="L111" t="s">
        <v>37</v>
      </c>
      <c r="M111">
        <v>439.96</v>
      </c>
      <c r="N111">
        <v>22</v>
      </c>
      <c r="O111">
        <v>417.96</v>
      </c>
    </row>
    <row r="112" spans="1:15" x14ac:dyDescent="0.3">
      <c r="A112" t="s">
        <v>353</v>
      </c>
      <c r="B112" t="s">
        <v>354</v>
      </c>
      <c r="C112" t="s">
        <v>146</v>
      </c>
      <c r="D112" t="s">
        <v>18</v>
      </c>
      <c r="E112" t="s">
        <v>19</v>
      </c>
      <c r="F112" t="s">
        <v>20</v>
      </c>
      <c r="G112" t="s">
        <v>62</v>
      </c>
      <c r="H112" t="s">
        <v>249</v>
      </c>
      <c r="I112">
        <v>6</v>
      </c>
      <c r="J112">
        <v>49.99</v>
      </c>
      <c r="K112">
        <v>0.05</v>
      </c>
      <c r="L112" t="s">
        <v>23</v>
      </c>
      <c r="M112">
        <v>299.94</v>
      </c>
      <c r="N112">
        <v>15</v>
      </c>
      <c r="O112">
        <v>284.94</v>
      </c>
    </row>
    <row r="113" spans="1:15" x14ac:dyDescent="0.3">
      <c r="A113" t="s">
        <v>355</v>
      </c>
      <c r="B113" t="s">
        <v>181</v>
      </c>
      <c r="C113" t="s">
        <v>356</v>
      </c>
      <c r="D113" t="s">
        <v>32</v>
      </c>
      <c r="E113" t="s">
        <v>33</v>
      </c>
      <c r="F113" t="s">
        <v>34</v>
      </c>
      <c r="G113" t="s">
        <v>57</v>
      </c>
      <c r="H113" t="s">
        <v>58</v>
      </c>
      <c r="I113">
        <v>2</v>
      </c>
      <c r="J113">
        <v>89.99</v>
      </c>
      <c r="K113">
        <v>0.15</v>
      </c>
      <c r="L113" t="s">
        <v>47</v>
      </c>
      <c r="M113">
        <v>179.98</v>
      </c>
      <c r="N113">
        <v>27</v>
      </c>
      <c r="O113">
        <v>152.97999999999999</v>
      </c>
    </row>
    <row r="114" spans="1:15" x14ac:dyDescent="0.3">
      <c r="A114" t="s">
        <v>357</v>
      </c>
      <c r="B114" t="s">
        <v>358</v>
      </c>
      <c r="C114" t="s">
        <v>95</v>
      </c>
      <c r="D114" t="s">
        <v>18</v>
      </c>
      <c r="E114" t="s">
        <v>56</v>
      </c>
      <c r="F114" t="s">
        <v>20</v>
      </c>
      <c r="G114" t="s">
        <v>21</v>
      </c>
      <c r="H114" t="s">
        <v>22</v>
      </c>
      <c r="I114">
        <v>1</v>
      </c>
      <c r="J114">
        <v>89.99</v>
      </c>
      <c r="K114">
        <v>0.1</v>
      </c>
      <c r="L114" t="s">
        <v>80</v>
      </c>
      <c r="M114">
        <v>89.99</v>
      </c>
      <c r="N114">
        <v>9</v>
      </c>
      <c r="O114">
        <v>80.989999999999995</v>
      </c>
    </row>
    <row r="115" spans="1:15" x14ac:dyDescent="0.3">
      <c r="A115" t="s">
        <v>359</v>
      </c>
      <c r="B115" t="s">
        <v>296</v>
      </c>
      <c r="C115" t="s">
        <v>360</v>
      </c>
      <c r="D115" t="s">
        <v>72</v>
      </c>
      <c r="E115" t="s">
        <v>73</v>
      </c>
      <c r="F115" t="s">
        <v>34</v>
      </c>
      <c r="G115" t="s">
        <v>57</v>
      </c>
      <c r="H115" t="s">
        <v>189</v>
      </c>
      <c r="I115">
        <v>2</v>
      </c>
      <c r="J115">
        <v>119.99</v>
      </c>
      <c r="K115">
        <v>0</v>
      </c>
      <c r="L115" t="s">
        <v>37</v>
      </c>
      <c r="M115">
        <v>239.98</v>
      </c>
      <c r="N115">
        <v>0</v>
      </c>
      <c r="O115">
        <v>239.98</v>
      </c>
    </row>
    <row r="116" spans="1:15" x14ac:dyDescent="0.3">
      <c r="A116" t="s">
        <v>361</v>
      </c>
      <c r="B116" t="s">
        <v>317</v>
      </c>
      <c r="C116" t="s">
        <v>83</v>
      </c>
      <c r="D116" t="s">
        <v>72</v>
      </c>
      <c r="E116" t="s">
        <v>152</v>
      </c>
      <c r="F116" t="s">
        <v>20</v>
      </c>
      <c r="G116" t="s">
        <v>35</v>
      </c>
      <c r="H116" t="s">
        <v>134</v>
      </c>
      <c r="I116">
        <v>6</v>
      </c>
      <c r="J116">
        <v>139.99</v>
      </c>
      <c r="K116">
        <v>0</v>
      </c>
      <c r="L116" t="s">
        <v>47</v>
      </c>
      <c r="M116">
        <v>839.94</v>
      </c>
      <c r="N116">
        <v>0</v>
      </c>
      <c r="O116">
        <v>839.94</v>
      </c>
    </row>
    <row r="117" spans="1:15" x14ac:dyDescent="0.3">
      <c r="A117" t="s">
        <v>362</v>
      </c>
      <c r="B117" t="s">
        <v>270</v>
      </c>
      <c r="C117" t="s">
        <v>363</v>
      </c>
      <c r="D117" t="s">
        <v>32</v>
      </c>
      <c r="E117" t="s">
        <v>33</v>
      </c>
      <c r="F117" t="s">
        <v>20</v>
      </c>
      <c r="G117" t="s">
        <v>35</v>
      </c>
      <c r="H117" t="s">
        <v>36</v>
      </c>
      <c r="I117">
        <v>1</v>
      </c>
      <c r="J117">
        <v>79.989999999999995</v>
      </c>
      <c r="K117">
        <v>0.05</v>
      </c>
      <c r="L117" t="s">
        <v>23</v>
      </c>
      <c r="M117">
        <v>79.989999999999995</v>
      </c>
      <c r="N117">
        <v>4</v>
      </c>
      <c r="O117">
        <v>75.989999999999995</v>
      </c>
    </row>
    <row r="118" spans="1:15" x14ac:dyDescent="0.3">
      <c r="A118" t="s">
        <v>364</v>
      </c>
      <c r="B118" t="s">
        <v>116</v>
      </c>
      <c r="C118" t="s">
        <v>195</v>
      </c>
      <c r="D118" t="s">
        <v>32</v>
      </c>
      <c r="E118" t="s">
        <v>33</v>
      </c>
      <c r="F118" t="s">
        <v>20</v>
      </c>
      <c r="G118" t="s">
        <v>57</v>
      </c>
      <c r="H118" t="s">
        <v>189</v>
      </c>
      <c r="I118">
        <v>6</v>
      </c>
      <c r="J118">
        <v>119.99</v>
      </c>
      <c r="K118">
        <v>0</v>
      </c>
      <c r="L118" t="s">
        <v>23</v>
      </c>
      <c r="M118">
        <v>719.94</v>
      </c>
      <c r="N118">
        <v>0</v>
      </c>
      <c r="O118">
        <v>719.94</v>
      </c>
    </row>
    <row r="119" spans="1:15" x14ac:dyDescent="0.3">
      <c r="A119" t="s">
        <v>365</v>
      </c>
      <c r="B119" t="s">
        <v>366</v>
      </c>
      <c r="C119" t="s">
        <v>367</v>
      </c>
      <c r="D119" t="s">
        <v>32</v>
      </c>
      <c r="E119" t="s">
        <v>45</v>
      </c>
      <c r="F119" t="s">
        <v>34</v>
      </c>
      <c r="G119" t="s">
        <v>21</v>
      </c>
      <c r="H119" t="s">
        <v>87</v>
      </c>
      <c r="I119">
        <v>6</v>
      </c>
      <c r="J119">
        <v>149.99</v>
      </c>
      <c r="K119">
        <v>0</v>
      </c>
      <c r="L119" t="s">
        <v>37</v>
      </c>
      <c r="M119">
        <v>899.94</v>
      </c>
      <c r="N119">
        <v>0</v>
      </c>
      <c r="O119">
        <v>899.94</v>
      </c>
    </row>
    <row r="120" spans="1:15" x14ac:dyDescent="0.3">
      <c r="A120" t="s">
        <v>368</v>
      </c>
      <c r="B120" t="s">
        <v>77</v>
      </c>
      <c r="C120" t="s">
        <v>369</v>
      </c>
      <c r="D120" t="s">
        <v>51</v>
      </c>
      <c r="E120" t="s">
        <v>108</v>
      </c>
      <c r="F120" t="s">
        <v>20</v>
      </c>
      <c r="G120" t="s">
        <v>74</v>
      </c>
      <c r="H120" t="s">
        <v>112</v>
      </c>
      <c r="I120">
        <v>1</v>
      </c>
      <c r="J120">
        <v>129.99</v>
      </c>
      <c r="K120">
        <v>0</v>
      </c>
      <c r="L120" t="s">
        <v>47</v>
      </c>
      <c r="M120">
        <v>129.99</v>
      </c>
      <c r="N120">
        <v>0</v>
      </c>
      <c r="O120">
        <v>129.99</v>
      </c>
    </row>
    <row r="121" spans="1:15" x14ac:dyDescent="0.3">
      <c r="A121" t="s">
        <v>370</v>
      </c>
      <c r="B121" t="s">
        <v>371</v>
      </c>
      <c r="C121" t="s">
        <v>372</v>
      </c>
      <c r="D121" t="s">
        <v>72</v>
      </c>
      <c r="E121" t="s">
        <v>152</v>
      </c>
      <c r="F121" t="s">
        <v>34</v>
      </c>
      <c r="G121" t="s">
        <v>62</v>
      </c>
      <c r="H121" t="s">
        <v>63</v>
      </c>
      <c r="I121">
        <v>3</v>
      </c>
      <c r="J121">
        <v>199.99</v>
      </c>
      <c r="K121">
        <v>0.15</v>
      </c>
      <c r="L121" t="s">
        <v>47</v>
      </c>
      <c r="M121">
        <v>599.97</v>
      </c>
      <c r="N121">
        <v>90</v>
      </c>
      <c r="O121">
        <v>509.97</v>
      </c>
    </row>
    <row r="122" spans="1:15" x14ac:dyDescent="0.3">
      <c r="A122" t="s">
        <v>373</v>
      </c>
      <c r="B122" t="s">
        <v>374</v>
      </c>
      <c r="C122" t="s">
        <v>375</v>
      </c>
      <c r="D122" t="s">
        <v>27</v>
      </c>
      <c r="E122" t="s">
        <v>67</v>
      </c>
      <c r="F122" t="s">
        <v>34</v>
      </c>
      <c r="G122" t="s">
        <v>74</v>
      </c>
      <c r="H122" t="s">
        <v>143</v>
      </c>
      <c r="I122">
        <v>5</v>
      </c>
      <c r="J122">
        <v>99.99</v>
      </c>
      <c r="K122">
        <v>0.05</v>
      </c>
      <c r="L122" t="s">
        <v>47</v>
      </c>
      <c r="M122">
        <v>499.95</v>
      </c>
      <c r="N122">
        <v>25</v>
      </c>
      <c r="O122">
        <v>474.95</v>
      </c>
    </row>
    <row r="123" spans="1:15" x14ac:dyDescent="0.3">
      <c r="A123" t="s">
        <v>376</v>
      </c>
      <c r="B123" t="s">
        <v>377</v>
      </c>
      <c r="C123" t="s">
        <v>378</v>
      </c>
      <c r="D123" t="s">
        <v>51</v>
      </c>
      <c r="E123" t="s">
        <v>52</v>
      </c>
      <c r="F123" t="s">
        <v>34</v>
      </c>
      <c r="G123" t="s">
        <v>74</v>
      </c>
      <c r="H123" t="s">
        <v>75</v>
      </c>
      <c r="I123">
        <v>1</v>
      </c>
      <c r="J123">
        <v>299.99</v>
      </c>
      <c r="K123">
        <v>0.15</v>
      </c>
      <c r="L123" t="s">
        <v>80</v>
      </c>
      <c r="M123">
        <v>299.99</v>
      </c>
      <c r="N123">
        <v>45</v>
      </c>
      <c r="O123">
        <v>254.99</v>
      </c>
    </row>
    <row r="124" spans="1:15" x14ac:dyDescent="0.3">
      <c r="A124" t="s">
        <v>379</v>
      </c>
      <c r="B124" t="s">
        <v>380</v>
      </c>
      <c r="C124" t="s">
        <v>66</v>
      </c>
      <c r="D124" t="s">
        <v>51</v>
      </c>
      <c r="E124" t="s">
        <v>108</v>
      </c>
      <c r="F124" t="s">
        <v>20</v>
      </c>
      <c r="G124" t="s">
        <v>74</v>
      </c>
      <c r="H124" t="s">
        <v>75</v>
      </c>
      <c r="I124">
        <v>4</v>
      </c>
      <c r="J124">
        <v>299.99</v>
      </c>
      <c r="K124">
        <v>0</v>
      </c>
      <c r="L124" t="s">
        <v>80</v>
      </c>
      <c r="M124">
        <v>1199.96</v>
      </c>
      <c r="N124">
        <v>0</v>
      </c>
      <c r="O124">
        <v>1199.96</v>
      </c>
    </row>
    <row r="125" spans="1:15" x14ac:dyDescent="0.3">
      <c r="A125" t="s">
        <v>381</v>
      </c>
      <c r="B125" t="s">
        <v>382</v>
      </c>
      <c r="C125" t="s">
        <v>349</v>
      </c>
      <c r="D125" t="s">
        <v>51</v>
      </c>
      <c r="E125" t="s">
        <v>108</v>
      </c>
      <c r="F125" t="s">
        <v>20</v>
      </c>
      <c r="G125" t="s">
        <v>57</v>
      </c>
      <c r="H125" t="s">
        <v>58</v>
      </c>
      <c r="I125">
        <v>1</v>
      </c>
      <c r="J125">
        <v>89.99</v>
      </c>
      <c r="K125">
        <v>0.1</v>
      </c>
      <c r="L125" t="s">
        <v>47</v>
      </c>
      <c r="M125">
        <v>89.99</v>
      </c>
      <c r="N125">
        <v>9</v>
      </c>
      <c r="O125">
        <v>80.989999999999995</v>
      </c>
    </row>
    <row r="126" spans="1:15" x14ac:dyDescent="0.3">
      <c r="A126" t="s">
        <v>383</v>
      </c>
      <c r="B126" t="s">
        <v>384</v>
      </c>
      <c r="C126" t="s">
        <v>385</v>
      </c>
      <c r="D126" t="s">
        <v>32</v>
      </c>
      <c r="E126" t="s">
        <v>45</v>
      </c>
      <c r="F126" t="s">
        <v>34</v>
      </c>
      <c r="G126" t="s">
        <v>57</v>
      </c>
      <c r="H126" t="s">
        <v>58</v>
      </c>
      <c r="I126">
        <v>3</v>
      </c>
      <c r="J126">
        <v>89.99</v>
      </c>
      <c r="K126">
        <v>0</v>
      </c>
      <c r="L126" t="s">
        <v>47</v>
      </c>
      <c r="M126">
        <v>269.97000000000003</v>
      </c>
      <c r="N126">
        <v>0</v>
      </c>
      <c r="O126">
        <v>269.97000000000003</v>
      </c>
    </row>
    <row r="127" spans="1:15" x14ac:dyDescent="0.3">
      <c r="A127" t="s">
        <v>386</v>
      </c>
      <c r="B127" t="s">
        <v>387</v>
      </c>
      <c r="C127" t="s">
        <v>388</v>
      </c>
      <c r="D127" t="s">
        <v>51</v>
      </c>
      <c r="E127" t="s">
        <v>108</v>
      </c>
      <c r="F127" t="s">
        <v>20</v>
      </c>
      <c r="G127" t="s">
        <v>21</v>
      </c>
      <c r="H127" t="s">
        <v>22</v>
      </c>
      <c r="I127">
        <v>3</v>
      </c>
      <c r="J127">
        <v>89.99</v>
      </c>
      <c r="K127">
        <v>0</v>
      </c>
      <c r="L127" t="s">
        <v>47</v>
      </c>
      <c r="M127">
        <v>269.97000000000003</v>
      </c>
      <c r="N127">
        <v>0</v>
      </c>
      <c r="O127">
        <v>269.97000000000003</v>
      </c>
    </row>
    <row r="128" spans="1:15" x14ac:dyDescent="0.3">
      <c r="A128" t="s">
        <v>389</v>
      </c>
      <c r="B128" t="s">
        <v>217</v>
      </c>
      <c r="C128" t="s">
        <v>111</v>
      </c>
      <c r="D128" t="s">
        <v>51</v>
      </c>
      <c r="E128" t="s">
        <v>52</v>
      </c>
      <c r="F128" t="s">
        <v>34</v>
      </c>
      <c r="G128" t="s">
        <v>57</v>
      </c>
      <c r="H128" t="s">
        <v>300</v>
      </c>
      <c r="I128">
        <v>5</v>
      </c>
      <c r="J128">
        <v>179.99</v>
      </c>
      <c r="K128">
        <v>0</v>
      </c>
      <c r="L128" t="s">
        <v>37</v>
      </c>
      <c r="M128">
        <v>899.95</v>
      </c>
      <c r="N128">
        <v>0</v>
      </c>
      <c r="O128">
        <v>899.95</v>
      </c>
    </row>
    <row r="129" spans="1:15" x14ac:dyDescent="0.3">
      <c r="A129" t="s">
        <v>390</v>
      </c>
      <c r="B129" t="s">
        <v>391</v>
      </c>
      <c r="C129" t="s">
        <v>392</v>
      </c>
      <c r="D129" t="s">
        <v>72</v>
      </c>
      <c r="E129" t="s">
        <v>73</v>
      </c>
      <c r="F129" t="s">
        <v>34</v>
      </c>
      <c r="G129" t="s">
        <v>62</v>
      </c>
      <c r="H129" t="s">
        <v>124</v>
      </c>
      <c r="I129">
        <v>5</v>
      </c>
      <c r="J129">
        <v>399.99</v>
      </c>
      <c r="K129">
        <v>0</v>
      </c>
      <c r="L129" t="s">
        <v>23</v>
      </c>
      <c r="M129">
        <v>1999.95</v>
      </c>
      <c r="N129">
        <v>0</v>
      </c>
      <c r="O129">
        <v>1999.95</v>
      </c>
    </row>
    <row r="130" spans="1:15" x14ac:dyDescent="0.3">
      <c r="A130" t="s">
        <v>393</v>
      </c>
      <c r="B130" t="s">
        <v>116</v>
      </c>
      <c r="C130" t="s">
        <v>394</v>
      </c>
      <c r="D130" t="s">
        <v>72</v>
      </c>
      <c r="E130" t="s">
        <v>152</v>
      </c>
      <c r="F130" t="s">
        <v>34</v>
      </c>
      <c r="G130" t="s">
        <v>21</v>
      </c>
      <c r="H130" t="s">
        <v>22</v>
      </c>
      <c r="I130">
        <v>4</v>
      </c>
      <c r="J130">
        <v>89.99</v>
      </c>
      <c r="K130">
        <v>0.15</v>
      </c>
      <c r="L130" t="s">
        <v>80</v>
      </c>
      <c r="M130">
        <v>359.96</v>
      </c>
      <c r="N130">
        <v>53.99</v>
      </c>
      <c r="O130">
        <v>305.97000000000003</v>
      </c>
    </row>
    <row r="131" spans="1:15" x14ac:dyDescent="0.3">
      <c r="A131" t="s">
        <v>395</v>
      </c>
      <c r="B131" t="s">
        <v>354</v>
      </c>
      <c r="C131" t="s">
        <v>185</v>
      </c>
      <c r="D131" t="s">
        <v>32</v>
      </c>
      <c r="E131" t="s">
        <v>45</v>
      </c>
      <c r="F131" t="s">
        <v>34</v>
      </c>
      <c r="G131" t="s">
        <v>21</v>
      </c>
      <c r="H131" t="s">
        <v>87</v>
      </c>
      <c r="I131">
        <v>1</v>
      </c>
      <c r="J131">
        <v>149.99</v>
      </c>
      <c r="K131">
        <v>0</v>
      </c>
      <c r="L131" t="s">
        <v>23</v>
      </c>
      <c r="M131">
        <v>149.99</v>
      </c>
      <c r="N131">
        <v>0</v>
      </c>
      <c r="O131">
        <v>149.99</v>
      </c>
    </row>
    <row r="132" spans="1:15" x14ac:dyDescent="0.3">
      <c r="A132" t="s">
        <v>396</v>
      </c>
      <c r="B132" t="s">
        <v>317</v>
      </c>
      <c r="C132" t="s">
        <v>397</v>
      </c>
      <c r="D132" t="s">
        <v>72</v>
      </c>
      <c r="E132" t="s">
        <v>152</v>
      </c>
      <c r="F132" t="s">
        <v>20</v>
      </c>
      <c r="G132" t="s">
        <v>62</v>
      </c>
      <c r="H132" t="s">
        <v>249</v>
      </c>
      <c r="I132">
        <v>1</v>
      </c>
      <c r="J132">
        <v>49.99</v>
      </c>
      <c r="K132">
        <v>0.15</v>
      </c>
      <c r="L132" t="s">
        <v>23</v>
      </c>
      <c r="M132">
        <v>49.99</v>
      </c>
      <c r="N132">
        <v>7.5</v>
      </c>
      <c r="O132">
        <v>42.49</v>
      </c>
    </row>
    <row r="133" spans="1:15" x14ac:dyDescent="0.3">
      <c r="A133" t="s">
        <v>398</v>
      </c>
      <c r="B133" t="s">
        <v>322</v>
      </c>
      <c r="C133" t="s">
        <v>399</v>
      </c>
      <c r="D133" t="s">
        <v>72</v>
      </c>
      <c r="E133" t="s">
        <v>152</v>
      </c>
      <c r="F133" t="s">
        <v>20</v>
      </c>
      <c r="G133" t="s">
        <v>74</v>
      </c>
      <c r="H133" t="s">
        <v>112</v>
      </c>
      <c r="I133">
        <v>4</v>
      </c>
      <c r="J133">
        <v>129.99</v>
      </c>
      <c r="K133">
        <v>0.05</v>
      </c>
      <c r="L133" t="s">
        <v>37</v>
      </c>
      <c r="M133">
        <v>519.96</v>
      </c>
      <c r="N133">
        <v>26</v>
      </c>
      <c r="O133">
        <v>493.96</v>
      </c>
    </row>
    <row r="134" spans="1:15" x14ac:dyDescent="0.3">
      <c r="A134" t="s">
        <v>400</v>
      </c>
      <c r="B134" t="s">
        <v>401</v>
      </c>
      <c r="C134" t="s">
        <v>337</v>
      </c>
      <c r="D134" t="s">
        <v>18</v>
      </c>
      <c r="E134" t="s">
        <v>56</v>
      </c>
      <c r="F134" t="s">
        <v>20</v>
      </c>
      <c r="G134" t="s">
        <v>74</v>
      </c>
      <c r="H134" t="s">
        <v>75</v>
      </c>
      <c r="I134">
        <v>2</v>
      </c>
      <c r="J134">
        <v>299.99</v>
      </c>
      <c r="K134">
        <v>0.15</v>
      </c>
      <c r="L134" t="s">
        <v>80</v>
      </c>
      <c r="M134">
        <v>599.98</v>
      </c>
      <c r="N134">
        <v>90</v>
      </c>
      <c r="O134">
        <v>509.98</v>
      </c>
    </row>
    <row r="135" spans="1:15" x14ac:dyDescent="0.3">
      <c r="A135" t="s">
        <v>402</v>
      </c>
      <c r="B135" t="s">
        <v>384</v>
      </c>
      <c r="C135" t="s">
        <v>403</v>
      </c>
      <c r="D135" t="s">
        <v>27</v>
      </c>
      <c r="E135" t="s">
        <v>123</v>
      </c>
      <c r="F135" t="s">
        <v>20</v>
      </c>
      <c r="G135" t="s">
        <v>21</v>
      </c>
      <c r="H135" t="s">
        <v>46</v>
      </c>
      <c r="I135">
        <v>6</v>
      </c>
      <c r="J135">
        <v>119.99</v>
      </c>
      <c r="K135">
        <v>0</v>
      </c>
      <c r="L135" t="s">
        <v>37</v>
      </c>
      <c r="M135">
        <v>719.94</v>
      </c>
      <c r="N135">
        <v>0</v>
      </c>
      <c r="O135">
        <v>719.94</v>
      </c>
    </row>
    <row r="136" spans="1:15" x14ac:dyDescent="0.3">
      <c r="A136" t="s">
        <v>404</v>
      </c>
      <c r="B136" t="s">
        <v>405</v>
      </c>
      <c r="C136" t="s">
        <v>406</v>
      </c>
      <c r="D136" t="s">
        <v>18</v>
      </c>
      <c r="E136" t="s">
        <v>56</v>
      </c>
      <c r="F136" t="s">
        <v>34</v>
      </c>
      <c r="G136" t="s">
        <v>21</v>
      </c>
      <c r="H136" t="s">
        <v>46</v>
      </c>
      <c r="I136">
        <v>6</v>
      </c>
      <c r="J136">
        <v>119.99</v>
      </c>
      <c r="K136">
        <v>0</v>
      </c>
      <c r="L136" t="s">
        <v>37</v>
      </c>
      <c r="M136">
        <v>719.94</v>
      </c>
      <c r="N136">
        <v>0</v>
      </c>
      <c r="O136">
        <v>719.94</v>
      </c>
    </row>
    <row r="137" spans="1:15" x14ac:dyDescent="0.3">
      <c r="A137" t="s">
        <v>407</v>
      </c>
      <c r="B137" t="s">
        <v>408</v>
      </c>
      <c r="C137" t="s">
        <v>409</v>
      </c>
      <c r="D137" t="s">
        <v>51</v>
      </c>
      <c r="E137" t="s">
        <v>52</v>
      </c>
      <c r="F137" t="s">
        <v>34</v>
      </c>
      <c r="G137" t="s">
        <v>21</v>
      </c>
      <c r="H137" t="s">
        <v>68</v>
      </c>
      <c r="I137">
        <v>2</v>
      </c>
      <c r="J137">
        <v>129.99</v>
      </c>
      <c r="K137">
        <v>0</v>
      </c>
      <c r="L137" t="s">
        <v>80</v>
      </c>
      <c r="M137">
        <v>259.98</v>
      </c>
      <c r="N137">
        <v>0</v>
      </c>
      <c r="O137">
        <v>259.98</v>
      </c>
    </row>
    <row r="138" spans="1:15" x14ac:dyDescent="0.3">
      <c r="A138" t="s">
        <v>410</v>
      </c>
      <c r="B138" t="s">
        <v>411</v>
      </c>
      <c r="C138" t="s">
        <v>412</v>
      </c>
      <c r="D138" t="s">
        <v>72</v>
      </c>
      <c r="E138" t="s">
        <v>73</v>
      </c>
      <c r="F138" t="s">
        <v>20</v>
      </c>
      <c r="G138" t="s">
        <v>57</v>
      </c>
      <c r="H138" t="s">
        <v>58</v>
      </c>
      <c r="I138">
        <v>5</v>
      </c>
      <c r="J138">
        <v>89.99</v>
      </c>
      <c r="K138">
        <v>0.15</v>
      </c>
      <c r="L138" t="s">
        <v>47</v>
      </c>
      <c r="M138">
        <v>449.95</v>
      </c>
      <c r="N138">
        <v>67.489999999999995</v>
      </c>
      <c r="O138">
        <v>382.46</v>
      </c>
    </row>
    <row r="139" spans="1:15" x14ac:dyDescent="0.3">
      <c r="A139" t="s">
        <v>413</v>
      </c>
      <c r="B139" t="s">
        <v>414</v>
      </c>
      <c r="C139" t="s">
        <v>415</v>
      </c>
      <c r="D139" t="s">
        <v>18</v>
      </c>
      <c r="E139" t="s">
        <v>56</v>
      </c>
      <c r="F139" t="s">
        <v>34</v>
      </c>
      <c r="G139" t="s">
        <v>57</v>
      </c>
      <c r="H139" t="s">
        <v>189</v>
      </c>
      <c r="I139">
        <v>1</v>
      </c>
      <c r="J139">
        <v>119.99</v>
      </c>
      <c r="K139">
        <v>0</v>
      </c>
      <c r="L139" t="s">
        <v>80</v>
      </c>
      <c r="M139">
        <v>119.99</v>
      </c>
      <c r="N139">
        <v>0</v>
      </c>
      <c r="O139">
        <v>119.99</v>
      </c>
    </row>
    <row r="140" spans="1:15" x14ac:dyDescent="0.3">
      <c r="A140" t="s">
        <v>416</v>
      </c>
      <c r="B140" t="s">
        <v>417</v>
      </c>
      <c r="C140" t="s">
        <v>418</v>
      </c>
      <c r="D140" t="s">
        <v>27</v>
      </c>
      <c r="E140" t="s">
        <v>123</v>
      </c>
      <c r="F140" t="s">
        <v>34</v>
      </c>
      <c r="G140" t="s">
        <v>35</v>
      </c>
      <c r="H140" t="s">
        <v>199</v>
      </c>
      <c r="I140">
        <v>5</v>
      </c>
      <c r="J140">
        <v>99.99</v>
      </c>
      <c r="K140">
        <v>0</v>
      </c>
      <c r="L140" t="s">
        <v>37</v>
      </c>
      <c r="M140">
        <v>499.95</v>
      </c>
      <c r="N140">
        <v>0</v>
      </c>
      <c r="O140">
        <v>499.95</v>
      </c>
    </row>
    <row r="141" spans="1:15" x14ac:dyDescent="0.3">
      <c r="A141" t="s">
        <v>419</v>
      </c>
      <c r="B141" t="s">
        <v>94</v>
      </c>
      <c r="C141" t="s">
        <v>420</v>
      </c>
      <c r="D141" t="s">
        <v>18</v>
      </c>
      <c r="E141" t="s">
        <v>56</v>
      </c>
      <c r="F141" t="s">
        <v>20</v>
      </c>
      <c r="G141" t="s">
        <v>35</v>
      </c>
      <c r="H141" t="s">
        <v>134</v>
      </c>
      <c r="I141">
        <v>5</v>
      </c>
      <c r="J141">
        <v>139.99</v>
      </c>
      <c r="K141">
        <v>0.1</v>
      </c>
      <c r="L141" t="s">
        <v>47</v>
      </c>
      <c r="M141">
        <v>699.95</v>
      </c>
      <c r="N141">
        <v>70</v>
      </c>
      <c r="O141">
        <v>629.95000000000005</v>
      </c>
    </row>
    <row r="142" spans="1:15" x14ac:dyDescent="0.3">
      <c r="A142" t="s">
        <v>421</v>
      </c>
      <c r="B142" t="s">
        <v>422</v>
      </c>
      <c r="C142" t="s">
        <v>212</v>
      </c>
      <c r="D142" t="s">
        <v>27</v>
      </c>
      <c r="E142" t="s">
        <v>67</v>
      </c>
      <c r="F142" t="s">
        <v>34</v>
      </c>
      <c r="G142" t="s">
        <v>35</v>
      </c>
      <c r="H142" t="s">
        <v>199</v>
      </c>
      <c r="I142">
        <v>4</v>
      </c>
      <c r="J142">
        <v>99.99</v>
      </c>
      <c r="K142">
        <v>0.15</v>
      </c>
      <c r="L142" t="s">
        <v>23</v>
      </c>
      <c r="M142">
        <v>399.96</v>
      </c>
      <c r="N142">
        <v>59.99</v>
      </c>
      <c r="O142">
        <v>339.97</v>
      </c>
    </row>
    <row r="143" spans="1:15" x14ac:dyDescent="0.3">
      <c r="A143" t="s">
        <v>423</v>
      </c>
      <c r="B143" t="s">
        <v>424</v>
      </c>
      <c r="C143" t="s">
        <v>425</v>
      </c>
      <c r="D143" t="s">
        <v>32</v>
      </c>
      <c r="E143" t="s">
        <v>45</v>
      </c>
      <c r="F143" t="s">
        <v>34</v>
      </c>
      <c r="G143" t="s">
        <v>57</v>
      </c>
      <c r="H143" t="s">
        <v>58</v>
      </c>
      <c r="I143">
        <v>3</v>
      </c>
      <c r="J143">
        <v>89.99</v>
      </c>
      <c r="K143">
        <v>0.05</v>
      </c>
      <c r="L143" t="s">
        <v>37</v>
      </c>
      <c r="M143">
        <v>269.97000000000003</v>
      </c>
      <c r="N143">
        <v>13.5</v>
      </c>
      <c r="O143">
        <v>256.47000000000003</v>
      </c>
    </row>
    <row r="144" spans="1:15" x14ac:dyDescent="0.3">
      <c r="A144" t="s">
        <v>426</v>
      </c>
      <c r="B144" t="s">
        <v>191</v>
      </c>
      <c r="C144" t="s">
        <v>372</v>
      </c>
      <c r="D144" t="s">
        <v>72</v>
      </c>
      <c r="E144" t="s">
        <v>73</v>
      </c>
      <c r="F144" t="s">
        <v>20</v>
      </c>
      <c r="G144" t="s">
        <v>21</v>
      </c>
      <c r="H144" t="s">
        <v>68</v>
      </c>
      <c r="I144">
        <v>1</v>
      </c>
      <c r="J144">
        <v>129.99</v>
      </c>
      <c r="K144">
        <v>0</v>
      </c>
      <c r="L144" t="s">
        <v>47</v>
      </c>
      <c r="M144">
        <v>129.99</v>
      </c>
      <c r="N144">
        <v>0</v>
      </c>
      <c r="O144">
        <v>129.99</v>
      </c>
    </row>
    <row r="145" spans="1:15" x14ac:dyDescent="0.3">
      <c r="A145" t="s">
        <v>427</v>
      </c>
      <c r="B145" t="s">
        <v>428</v>
      </c>
      <c r="C145" t="s">
        <v>429</v>
      </c>
      <c r="D145" t="s">
        <v>18</v>
      </c>
      <c r="E145" t="s">
        <v>19</v>
      </c>
      <c r="F145" t="s">
        <v>20</v>
      </c>
      <c r="G145" t="s">
        <v>57</v>
      </c>
      <c r="H145" t="s">
        <v>189</v>
      </c>
      <c r="I145">
        <v>1</v>
      </c>
      <c r="J145">
        <v>119.99</v>
      </c>
      <c r="K145">
        <v>0.05</v>
      </c>
      <c r="L145" t="s">
        <v>23</v>
      </c>
      <c r="M145">
        <v>119.99</v>
      </c>
      <c r="N145">
        <v>6</v>
      </c>
      <c r="O145">
        <v>113.99</v>
      </c>
    </row>
    <row r="146" spans="1:15" x14ac:dyDescent="0.3">
      <c r="A146" t="s">
        <v>430</v>
      </c>
      <c r="B146" t="s">
        <v>431</v>
      </c>
      <c r="C146" t="s">
        <v>432</v>
      </c>
      <c r="D146" t="s">
        <v>32</v>
      </c>
      <c r="E146" t="s">
        <v>33</v>
      </c>
      <c r="F146" t="s">
        <v>20</v>
      </c>
      <c r="G146" t="s">
        <v>62</v>
      </c>
      <c r="H146" t="s">
        <v>63</v>
      </c>
      <c r="I146">
        <v>1</v>
      </c>
      <c r="J146">
        <v>199.99</v>
      </c>
      <c r="K146">
        <v>0.05</v>
      </c>
      <c r="L146" t="s">
        <v>23</v>
      </c>
      <c r="M146">
        <v>199.99</v>
      </c>
      <c r="N146">
        <v>10</v>
      </c>
      <c r="O146">
        <v>189.99</v>
      </c>
    </row>
    <row r="147" spans="1:15" x14ac:dyDescent="0.3">
      <c r="A147" t="s">
        <v>433</v>
      </c>
      <c r="B147" t="s">
        <v>434</v>
      </c>
      <c r="C147" t="s">
        <v>435</v>
      </c>
      <c r="D147" t="s">
        <v>32</v>
      </c>
      <c r="E147" t="s">
        <v>33</v>
      </c>
      <c r="F147" t="s">
        <v>34</v>
      </c>
      <c r="G147" t="s">
        <v>21</v>
      </c>
      <c r="H147" t="s">
        <v>87</v>
      </c>
      <c r="I147">
        <v>5</v>
      </c>
      <c r="J147">
        <v>149.99</v>
      </c>
      <c r="K147">
        <v>0.05</v>
      </c>
      <c r="L147" t="s">
        <v>37</v>
      </c>
      <c r="M147">
        <v>749.95</v>
      </c>
      <c r="N147">
        <v>37.5</v>
      </c>
      <c r="O147">
        <v>712.45</v>
      </c>
    </row>
    <row r="148" spans="1:15" x14ac:dyDescent="0.3">
      <c r="A148" t="s">
        <v>436</v>
      </c>
      <c r="B148" t="s">
        <v>437</v>
      </c>
      <c r="C148" t="s">
        <v>438</v>
      </c>
      <c r="D148" t="s">
        <v>27</v>
      </c>
      <c r="E148" t="s">
        <v>67</v>
      </c>
      <c r="F148" t="s">
        <v>34</v>
      </c>
      <c r="G148" t="s">
        <v>21</v>
      </c>
      <c r="H148" t="s">
        <v>46</v>
      </c>
      <c r="I148">
        <v>2</v>
      </c>
      <c r="J148">
        <v>119.99</v>
      </c>
      <c r="K148">
        <v>0.1</v>
      </c>
      <c r="L148" t="s">
        <v>80</v>
      </c>
      <c r="M148">
        <v>239.98</v>
      </c>
      <c r="N148">
        <v>24</v>
      </c>
      <c r="O148">
        <v>215.98</v>
      </c>
    </row>
    <row r="149" spans="1:15" x14ac:dyDescent="0.3">
      <c r="A149" t="s">
        <v>439</v>
      </c>
      <c r="B149" t="s">
        <v>440</v>
      </c>
      <c r="C149" t="s">
        <v>441</v>
      </c>
      <c r="D149" t="s">
        <v>51</v>
      </c>
      <c r="E149" t="s">
        <v>52</v>
      </c>
      <c r="F149" t="s">
        <v>34</v>
      </c>
      <c r="G149" t="s">
        <v>74</v>
      </c>
      <c r="H149" t="s">
        <v>112</v>
      </c>
      <c r="I149">
        <v>5</v>
      </c>
      <c r="J149">
        <v>129.99</v>
      </c>
      <c r="K149">
        <v>0.05</v>
      </c>
      <c r="L149" t="s">
        <v>37</v>
      </c>
      <c r="M149">
        <v>649.95000000000005</v>
      </c>
      <c r="N149">
        <v>32.5</v>
      </c>
      <c r="O149">
        <v>617.45000000000005</v>
      </c>
    </row>
    <row r="150" spans="1:15" x14ac:dyDescent="0.3">
      <c r="A150" t="s">
        <v>442</v>
      </c>
      <c r="B150" t="s">
        <v>443</v>
      </c>
      <c r="C150" t="s">
        <v>369</v>
      </c>
      <c r="D150" t="s">
        <v>18</v>
      </c>
      <c r="E150" t="s">
        <v>19</v>
      </c>
      <c r="F150" t="s">
        <v>20</v>
      </c>
      <c r="G150" t="s">
        <v>57</v>
      </c>
      <c r="H150" t="s">
        <v>58</v>
      </c>
      <c r="I150">
        <v>1</v>
      </c>
      <c r="J150">
        <v>89.99</v>
      </c>
      <c r="K150">
        <v>0.1</v>
      </c>
      <c r="L150" t="s">
        <v>37</v>
      </c>
      <c r="M150">
        <v>89.99</v>
      </c>
      <c r="N150">
        <v>9</v>
      </c>
      <c r="O150">
        <v>80.989999999999995</v>
      </c>
    </row>
    <row r="151" spans="1:15" x14ac:dyDescent="0.3">
      <c r="A151" t="s">
        <v>444</v>
      </c>
      <c r="B151" t="s">
        <v>445</v>
      </c>
      <c r="C151" t="s">
        <v>429</v>
      </c>
      <c r="D151" t="s">
        <v>51</v>
      </c>
      <c r="E151" t="s">
        <v>108</v>
      </c>
      <c r="F151" t="s">
        <v>20</v>
      </c>
      <c r="G151" t="s">
        <v>57</v>
      </c>
      <c r="H151" t="s">
        <v>58</v>
      </c>
      <c r="I151">
        <v>2</v>
      </c>
      <c r="J151">
        <v>89.99</v>
      </c>
      <c r="K151">
        <v>0</v>
      </c>
      <c r="L151" t="s">
        <v>80</v>
      </c>
      <c r="M151">
        <v>179.98</v>
      </c>
      <c r="N151">
        <v>0</v>
      </c>
      <c r="O151">
        <v>179.98</v>
      </c>
    </row>
    <row r="152" spans="1:15" x14ac:dyDescent="0.3">
      <c r="A152" t="s">
        <v>446</v>
      </c>
      <c r="B152" t="s">
        <v>447</v>
      </c>
      <c r="C152" t="s">
        <v>157</v>
      </c>
      <c r="D152" t="s">
        <v>72</v>
      </c>
      <c r="E152" t="s">
        <v>152</v>
      </c>
      <c r="F152" t="s">
        <v>34</v>
      </c>
      <c r="G152" t="s">
        <v>35</v>
      </c>
      <c r="H152" t="s">
        <v>36</v>
      </c>
      <c r="I152">
        <v>6</v>
      </c>
      <c r="J152">
        <v>79.989999999999995</v>
      </c>
      <c r="K152">
        <v>0.1</v>
      </c>
      <c r="L152" t="s">
        <v>37</v>
      </c>
      <c r="M152">
        <v>479.94</v>
      </c>
      <c r="N152">
        <v>47.99</v>
      </c>
      <c r="O152">
        <v>431.95</v>
      </c>
    </row>
    <row r="153" spans="1:15" x14ac:dyDescent="0.3">
      <c r="A153" t="s">
        <v>448</v>
      </c>
      <c r="B153" t="s">
        <v>449</v>
      </c>
      <c r="C153" t="s">
        <v>450</v>
      </c>
      <c r="D153" t="s">
        <v>27</v>
      </c>
      <c r="E153" t="s">
        <v>67</v>
      </c>
      <c r="F153" t="s">
        <v>34</v>
      </c>
      <c r="G153" t="s">
        <v>35</v>
      </c>
      <c r="H153" t="s">
        <v>36</v>
      </c>
      <c r="I153">
        <v>4</v>
      </c>
      <c r="J153">
        <v>79.989999999999995</v>
      </c>
      <c r="K153">
        <v>0.15</v>
      </c>
      <c r="L153" t="s">
        <v>80</v>
      </c>
      <c r="M153">
        <v>319.95999999999998</v>
      </c>
      <c r="N153">
        <v>47.99</v>
      </c>
      <c r="O153">
        <v>271.97000000000003</v>
      </c>
    </row>
    <row r="154" spans="1:15" x14ac:dyDescent="0.3">
      <c r="A154" t="s">
        <v>451</v>
      </c>
      <c r="B154" t="s">
        <v>452</v>
      </c>
      <c r="C154" t="s">
        <v>453</v>
      </c>
      <c r="D154" t="s">
        <v>18</v>
      </c>
      <c r="E154" t="s">
        <v>56</v>
      </c>
      <c r="F154" t="s">
        <v>34</v>
      </c>
      <c r="G154" t="s">
        <v>57</v>
      </c>
      <c r="H154" t="s">
        <v>300</v>
      </c>
      <c r="I154">
        <v>4</v>
      </c>
      <c r="J154">
        <v>179.99</v>
      </c>
      <c r="K154">
        <v>0</v>
      </c>
      <c r="L154" t="s">
        <v>80</v>
      </c>
      <c r="M154">
        <v>719.96</v>
      </c>
      <c r="N154">
        <v>0</v>
      </c>
      <c r="O154">
        <v>719.96</v>
      </c>
    </row>
    <row r="155" spans="1:15" x14ac:dyDescent="0.3">
      <c r="A155" t="s">
        <v>454</v>
      </c>
      <c r="B155" t="s">
        <v>455</v>
      </c>
      <c r="C155" t="s">
        <v>456</v>
      </c>
      <c r="D155" t="s">
        <v>72</v>
      </c>
      <c r="E155" t="s">
        <v>73</v>
      </c>
      <c r="F155" t="s">
        <v>34</v>
      </c>
      <c r="G155" t="s">
        <v>21</v>
      </c>
      <c r="H155" t="s">
        <v>46</v>
      </c>
      <c r="I155">
        <v>4</v>
      </c>
      <c r="J155">
        <v>119.99</v>
      </c>
      <c r="K155">
        <v>0.1</v>
      </c>
      <c r="L155" t="s">
        <v>23</v>
      </c>
      <c r="M155">
        <v>479.96</v>
      </c>
      <c r="N155">
        <v>48</v>
      </c>
      <c r="O155">
        <v>431.96</v>
      </c>
    </row>
    <row r="156" spans="1:15" x14ac:dyDescent="0.3">
      <c r="A156" t="s">
        <v>457</v>
      </c>
      <c r="B156" t="s">
        <v>94</v>
      </c>
      <c r="C156" t="s">
        <v>89</v>
      </c>
      <c r="D156" t="s">
        <v>27</v>
      </c>
      <c r="E156" t="s">
        <v>67</v>
      </c>
      <c r="F156" t="s">
        <v>20</v>
      </c>
      <c r="G156" t="s">
        <v>62</v>
      </c>
      <c r="H156" t="s">
        <v>63</v>
      </c>
      <c r="I156">
        <v>1</v>
      </c>
      <c r="J156">
        <v>199.99</v>
      </c>
      <c r="K156">
        <v>0</v>
      </c>
      <c r="L156" t="s">
        <v>80</v>
      </c>
      <c r="M156">
        <v>199.99</v>
      </c>
      <c r="N156">
        <v>0</v>
      </c>
      <c r="O156">
        <v>199.99</v>
      </c>
    </row>
    <row r="157" spans="1:15" x14ac:dyDescent="0.3">
      <c r="A157" t="s">
        <v>458</v>
      </c>
      <c r="B157" t="s">
        <v>459</v>
      </c>
      <c r="C157" t="s">
        <v>460</v>
      </c>
      <c r="D157" t="s">
        <v>72</v>
      </c>
      <c r="E157" t="s">
        <v>73</v>
      </c>
      <c r="F157" t="s">
        <v>34</v>
      </c>
      <c r="G157" t="s">
        <v>35</v>
      </c>
      <c r="H157" t="s">
        <v>36</v>
      </c>
      <c r="I157">
        <v>3</v>
      </c>
      <c r="J157">
        <v>79.989999999999995</v>
      </c>
      <c r="K157">
        <v>0</v>
      </c>
      <c r="L157" t="s">
        <v>37</v>
      </c>
      <c r="M157">
        <v>239.97</v>
      </c>
      <c r="N157">
        <v>0</v>
      </c>
      <c r="O157">
        <v>239.97</v>
      </c>
    </row>
    <row r="158" spans="1:15" x14ac:dyDescent="0.3">
      <c r="A158" t="s">
        <v>461</v>
      </c>
      <c r="B158" t="s">
        <v>462</v>
      </c>
      <c r="C158" t="s">
        <v>17</v>
      </c>
      <c r="D158" t="s">
        <v>18</v>
      </c>
      <c r="E158" t="s">
        <v>19</v>
      </c>
      <c r="F158" t="s">
        <v>34</v>
      </c>
      <c r="G158" t="s">
        <v>62</v>
      </c>
      <c r="H158" t="s">
        <v>124</v>
      </c>
      <c r="I158">
        <v>3</v>
      </c>
      <c r="J158">
        <v>399.99</v>
      </c>
      <c r="K158">
        <v>0</v>
      </c>
      <c r="L158" t="s">
        <v>37</v>
      </c>
      <c r="M158">
        <v>1199.97</v>
      </c>
      <c r="N158">
        <v>0</v>
      </c>
      <c r="O158">
        <v>1199.97</v>
      </c>
    </row>
    <row r="159" spans="1:15" x14ac:dyDescent="0.3">
      <c r="A159" t="s">
        <v>463</v>
      </c>
      <c r="B159" t="s">
        <v>464</v>
      </c>
      <c r="C159" t="s">
        <v>206</v>
      </c>
      <c r="D159" t="s">
        <v>18</v>
      </c>
      <c r="E159" t="s">
        <v>19</v>
      </c>
      <c r="F159" t="s">
        <v>34</v>
      </c>
      <c r="G159" t="s">
        <v>57</v>
      </c>
      <c r="H159" t="s">
        <v>58</v>
      </c>
      <c r="I159">
        <v>5</v>
      </c>
      <c r="J159">
        <v>89.99</v>
      </c>
      <c r="K159">
        <v>0.15</v>
      </c>
      <c r="L159" t="s">
        <v>37</v>
      </c>
      <c r="M159">
        <v>449.95</v>
      </c>
      <c r="N159">
        <v>67.489999999999995</v>
      </c>
      <c r="O159">
        <v>382.46</v>
      </c>
    </row>
    <row r="160" spans="1:15" x14ac:dyDescent="0.3">
      <c r="A160" t="s">
        <v>465</v>
      </c>
      <c r="B160" t="s">
        <v>417</v>
      </c>
      <c r="C160" t="s">
        <v>466</v>
      </c>
      <c r="D160" t="s">
        <v>32</v>
      </c>
      <c r="E160" t="s">
        <v>45</v>
      </c>
      <c r="F160" t="s">
        <v>34</v>
      </c>
      <c r="G160" t="s">
        <v>74</v>
      </c>
      <c r="H160" t="s">
        <v>112</v>
      </c>
      <c r="I160">
        <v>3</v>
      </c>
      <c r="J160">
        <v>129.99</v>
      </c>
      <c r="K160">
        <v>0.1</v>
      </c>
      <c r="L160" t="s">
        <v>47</v>
      </c>
      <c r="M160">
        <v>389.97</v>
      </c>
      <c r="N160">
        <v>39</v>
      </c>
      <c r="O160">
        <v>350.97</v>
      </c>
    </row>
    <row r="161" spans="1:15" x14ac:dyDescent="0.3">
      <c r="A161" t="s">
        <v>467</v>
      </c>
      <c r="B161" t="s">
        <v>468</v>
      </c>
      <c r="C161" t="s">
        <v>469</v>
      </c>
      <c r="D161" t="s">
        <v>72</v>
      </c>
      <c r="E161" t="s">
        <v>152</v>
      </c>
      <c r="F161" t="s">
        <v>20</v>
      </c>
      <c r="G161" t="s">
        <v>62</v>
      </c>
      <c r="H161" t="s">
        <v>124</v>
      </c>
      <c r="I161">
        <v>1</v>
      </c>
      <c r="J161">
        <v>399.99</v>
      </c>
      <c r="K161">
        <v>0</v>
      </c>
      <c r="L161" t="s">
        <v>37</v>
      </c>
      <c r="M161">
        <v>399.99</v>
      </c>
      <c r="N161">
        <v>0</v>
      </c>
      <c r="O161">
        <v>399.99</v>
      </c>
    </row>
    <row r="162" spans="1:15" x14ac:dyDescent="0.3">
      <c r="A162" t="s">
        <v>470</v>
      </c>
      <c r="B162" t="s">
        <v>187</v>
      </c>
      <c r="C162" t="s">
        <v>409</v>
      </c>
      <c r="D162" t="s">
        <v>51</v>
      </c>
      <c r="E162" t="s">
        <v>108</v>
      </c>
      <c r="F162" t="s">
        <v>20</v>
      </c>
      <c r="G162" t="s">
        <v>74</v>
      </c>
      <c r="H162" t="s">
        <v>112</v>
      </c>
      <c r="I162">
        <v>2</v>
      </c>
      <c r="J162">
        <v>129.99</v>
      </c>
      <c r="K162">
        <v>0</v>
      </c>
      <c r="L162" t="s">
        <v>80</v>
      </c>
      <c r="M162">
        <v>259.98</v>
      </c>
      <c r="N162">
        <v>0</v>
      </c>
      <c r="O162">
        <v>259.98</v>
      </c>
    </row>
    <row r="163" spans="1:15" x14ac:dyDescent="0.3">
      <c r="A163" t="s">
        <v>471</v>
      </c>
      <c r="B163" t="s">
        <v>472</v>
      </c>
      <c r="C163" t="s">
        <v>438</v>
      </c>
      <c r="D163" t="s">
        <v>32</v>
      </c>
      <c r="E163" t="s">
        <v>33</v>
      </c>
      <c r="F163" t="s">
        <v>20</v>
      </c>
      <c r="G163" t="s">
        <v>57</v>
      </c>
      <c r="H163" t="s">
        <v>58</v>
      </c>
      <c r="I163">
        <v>2</v>
      </c>
      <c r="J163">
        <v>89.99</v>
      </c>
      <c r="K163">
        <v>0</v>
      </c>
      <c r="L163" t="s">
        <v>23</v>
      </c>
      <c r="M163">
        <v>179.98</v>
      </c>
      <c r="N163">
        <v>0</v>
      </c>
      <c r="O163">
        <v>179.98</v>
      </c>
    </row>
    <row r="164" spans="1:15" x14ac:dyDescent="0.3">
      <c r="A164" t="s">
        <v>473</v>
      </c>
      <c r="B164" t="s">
        <v>474</v>
      </c>
      <c r="C164" t="s">
        <v>475</v>
      </c>
      <c r="D164" t="s">
        <v>18</v>
      </c>
      <c r="E164" t="s">
        <v>19</v>
      </c>
      <c r="F164" t="s">
        <v>34</v>
      </c>
      <c r="G164" t="s">
        <v>21</v>
      </c>
      <c r="H164" t="s">
        <v>46</v>
      </c>
      <c r="I164">
        <v>4</v>
      </c>
      <c r="J164">
        <v>119.99</v>
      </c>
      <c r="K164">
        <v>0.1</v>
      </c>
      <c r="L164" t="s">
        <v>47</v>
      </c>
      <c r="M164">
        <v>479.96</v>
      </c>
      <c r="N164">
        <v>48</v>
      </c>
      <c r="O164">
        <v>431.96</v>
      </c>
    </row>
    <row r="165" spans="1:15" x14ac:dyDescent="0.3">
      <c r="A165" t="s">
        <v>476</v>
      </c>
      <c r="B165" t="s">
        <v>477</v>
      </c>
      <c r="C165" t="s">
        <v>372</v>
      </c>
      <c r="D165" t="s">
        <v>18</v>
      </c>
      <c r="E165" t="s">
        <v>56</v>
      </c>
      <c r="F165" t="s">
        <v>34</v>
      </c>
      <c r="G165" t="s">
        <v>62</v>
      </c>
      <c r="H165" t="s">
        <v>63</v>
      </c>
      <c r="I165">
        <v>2</v>
      </c>
      <c r="J165">
        <v>199.99</v>
      </c>
      <c r="K165">
        <v>0</v>
      </c>
      <c r="L165" t="s">
        <v>23</v>
      </c>
      <c r="M165">
        <v>399.98</v>
      </c>
      <c r="N165">
        <v>0</v>
      </c>
      <c r="O165">
        <v>399.98</v>
      </c>
    </row>
    <row r="166" spans="1:15" x14ac:dyDescent="0.3">
      <c r="A166" t="s">
        <v>478</v>
      </c>
      <c r="B166" t="s">
        <v>479</v>
      </c>
      <c r="C166" t="s">
        <v>480</v>
      </c>
      <c r="D166" t="s">
        <v>32</v>
      </c>
      <c r="E166" t="s">
        <v>33</v>
      </c>
      <c r="F166" t="s">
        <v>34</v>
      </c>
      <c r="G166" t="s">
        <v>57</v>
      </c>
      <c r="H166" t="s">
        <v>130</v>
      </c>
      <c r="I166">
        <v>2</v>
      </c>
      <c r="J166">
        <v>109.99</v>
      </c>
      <c r="K166">
        <v>0</v>
      </c>
      <c r="L166" t="s">
        <v>80</v>
      </c>
      <c r="M166">
        <v>219.98</v>
      </c>
      <c r="N166">
        <v>0</v>
      </c>
      <c r="O166">
        <v>219.98</v>
      </c>
    </row>
    <row r="167" spans="1:15" x14ac:dyDescent="0.3">
      <c r="A167" t="s">
        <v>481</v>
      </c>
      <c r="B167" t="s">
        <v>482</v>
      </c>
      <c r="C167" t="s">
        <v>425</v>
      </c>
      <c r="D167" t="s">
        <v>32</v>
      </c>
      <c r="E167" t="s">
        <v>45</v>
      </c>
      <c r="F167" t="s">
        <v>20</v>
      </c>
      <c r="G167" t="s">
        <v>74</v>
      </c>
      <c r="H167" t="s">
        <v>75</v>
      </c>
      <c r="I167">
        <v>6</v>
      </c>
      <c r="J167">
        <v>299.99</v>
      </c>
      <c r="K167">
        <v>0.1</v>
      </c>
      <c r="L167" t="s">
        <v>47</v>
      </c>
      <c r="M167">
        <v>1799.94</v>
      </c>
      <c r="N167">
        <v>179.99</v>
      </c>
      <c r="O167">
        <v>1619.95</v>
      </c>
    </row>
    <row r="168" spans="1:15" x14ac:dyDescent="0.3">
      <c r="A168" t="s">
        <v>483</v>
      </c>
      <c r="B168" t="s">
        <v>484</v>
      </c>
      <c r="C168" t="s">
        <v>485</v>
      </c>
      <c r="D168" t="s">
        <v>32</v>
      </c>
      <c r="E168" t="s">
        <v>45</v>
      </c>
      <c r="F168" t="s">
        <v>34</v>
      </c>
      <c r="G168" t="s">
        <v>57</v>
      </c>
      <c r="H168" t="s">
        <v>130</v>
      </c>
      <c r="I168">
        <v>4</v>
      </c>
      <c r="J168">
        <v>109.99</v>
      </c>
      <c r="K168">
        <v>0</v>
      </c>
      <c r="L168" t="s">
        <v>37</v>
      </c>
      <c r="M168">
        <v>439.96</v>
      </c>
      <c r="N168">
        <v>0</v>
      </c>
      <c r="O168">
        <v>439.96</v>
      </c>
    </row>
    <row r="169" spans="1:15" x14ac:dyDescent="0.3">
      <c r="A169" t="s">
        <v>486</v>
      </c>
      <c r="B169" t="s">
        <v>487</v>
      </c>
      <c r="C169" t="s">
        <v>488</v>
      </c>
      <c r="D169" t="s">
        <v>27</v>
      </c>
      <c r="E169" t="s">
        <v>67</v>
      </c>
      <c r="F169" t="s">
        <v>20</v>
      </c>
      <c r="G169" t="s">
        <v>21</v>
      </c>
      <c r="H169" t="s">
        <v>46</v>
      </c>
      <c r="I169">
        <v>5</v>
      </c>
      <c r="J169">
        <v>119.99</v>
      </c>
      <c r="K169">
        <v>0</v>
      </c>
      <c r="L169" t="s">
        <v>37</v>
      </c>
      <c r="M169">
        <v>599.95000000000005</v>
      </c>
      <c r="N169">
        <v>0</v>
      </c>
      <c r="O169">
        <v>599.95000000000005</v>
      </c>
    </row>
    <row r="170" spans="1:15" x14ac:dyDescent="0.3">
      <c r="A170" t="s">
        <v>489</v>
      </c>
      <c r="B170" t="s">
        <v>490</v>
      </c>
      <c r="C170" t="s">
        <v>491</v>
      </c>
      <c r="D170" t="s">
        <v>18</v>
      </c>
      <c r="E170" t="s">
        <v>19</v>
      </c>
      <c r="F170" t="s">
        <v>20</v>
      </c>
      <c r="G170" t="s">
        <v>35</v>
      </c>
      <c r="H170" t="s">
        <v>199</v>
      </c>
      <c r="I170">
        <v>6</v>
      </c>
      <c r="J170">
        <v>99.99</v>
      </c>
      <c r="K170">
        <v>0.15</v>
      </c>
      <c r="L170" t="s">
        <v>47</v>
      </c>
      <c r="M170">
        <v>599.94000000000005</v>
      </c>
      <c r="N170">
        <v>89.99</v>
      </c>
      <c r="O170">
        <v>509.95</v>
      </c>
    </row>
    <row r="171" spans="1:15" x14ac:dyDescent="0.3">
      <c r="A171" t="s">
        <v>492</v>
      </c>
      <c r="B171" t="s">
        <v>493</v>
      </c>
      <c r="C171" t="s">
        <v>494</v>
      </c>
      <c r="D171" t="s">
        <v>72</v>
      </c>
      <c r="E171" t="s">
        <v>73</v>
      </c>
      <c r="F171" t="s">
        <v>20</v>
      </c>
      <c r="G171" t="s">
        <v>21</v>
      </c>
      <c r="H171" t="s">
        <v>87</v>
      </c>
      <c r="I171">
        <v>6</v>
      </c>
      <c r="J171">
        <v>149.99</v>
      </c>
      <c r="K171">
        <v>0.05</v>
      </c>
      <c r="L171" t="s">
        <v>80</v>
      </c>
      <c r="M171">
        <v>899.94</v>
      </c>
      <c r="N171">
        <v>45</v>
      </c>
      <c r="O171">
        <v>854.94</v>
      </c>
    </row>
    <row r="172" spans="1:15" x14ac:dyDescent="0.3">
      <c r="A172" t="s">
        <v>495</v>
      </c>
      <c r="B172" t="s">
        <v>496</v>
      </c>
      <c r="C172" t="s">
        <v>98</v>
      </c>
      <c r="D172" t="s">
        <v>51</v>
      </c>
      <c r="E172" t="s">
        <v>108</v>
      </c>
      <c r="F172" t="s">
        <v>34</v>
      </c>
      <c r="G172" t="s">
        <v>21</v>
      </c>
      <c r="H172" t="s">
        <v>87</v>
      </c>
      <c r="I172">
        <v>5</v>
      </c>
      <c r="J172">
        <v>149.99</v>
      </c>
      <c r="K172">
        <v>0.15</v>
      </c>
      <c r="L172" t="s">
        <v>80</v>
      </c>
      <c r="M172">
        <v>749.95</v>
      </c>
      <c r="N172">
        <v>112.49</v>
      </c>
      <c r="O172">
        <v>637.46</v>
      </c>
    </row>
    <row r="173" spans="1:15" x14ac:dyDescent="0.3">
      <c r="A173" t="s">
        <v>497</v>
      </c>
      <c r="B173" t="s">
        <v>498</v>
      </c>
      <c r="C173" t="s">
        <v>435</v>
      </c>
      <c r="D173" t="s">
        <v>18</v>
      </c>
      <c r="E173" t="s">
        <v>19</v>
      </c>
      <c r="F173" t="s">
        <v>34</v>
      </c>
      <c r="G173" t="s">
        <v>57</v>
      </c>
      <c r="H173" t="s">
        <v>58</v>
      </c>
      <c r="I173">
        <v>1</v>
      </c>
      <c r="J173">
        <v>89.99</v>
      </c>
      <c r="K173">
        <v>0</v>
      </c>
      <c r="L173" t="s">
        <v>80</v>
      </c>
      <c r="M173">
        <v>89.99</v>
      </c>
      <c r="N173">
        <v>0</v>
      </c>
      <c r="O173">
        <v>89.99</v>
      </c>
    </row>
    <row r="174" spans="1:15" x14ac:dyDescent="0.3">
      <c r="A174" t="s">
        <v>499</v>
      </c>
      <c r="B174" t="s">
        <v>500</v>
      </c>
      <c r="C174" t="s">
        <v>258</v>
      </c>
      <c r="D174" t="s">
        <v>32</v>
      </c>
      <c r="E174" t="s">
        <v>45</v>
      </c>
      <c r="F174" t="s">
        <v>20</v>
      </c>
      <c r="G174" t="s">
        <v>21</v>
      </c>
      <c r="H174" t="s">
        <v>46</v>
      </c>
      <c r="I174">
        <v>6</v>
      </c>
      <c r="J174">
        <v>119.99</v>
      </c>
      <c r="K174">
        <v>0.1</v>
      </c>
      <c r="L174" t="s">
        <v>37</v>
      </c>
      <c r="M174">
        <v>719.94</v>
      </c>
      <c r="N174">
        <v>71.989999999999995</v>
      </c>
      <c r="O174">
        <v>647.95000000000005</v>
      </c>
    </row>
    <row r="175" spans="1:15" x14ac:dyDescent="0.3">
      <c r="A175" t="s">
        <v>501</v>
      </c>
      <c r="B175" t="s">
        <v>281</v>
      </c>
      <c r="C175" t="s">
        <v>502</v>
      </c>
      <c r="D175" t="s">
        <v>32</v>
      </c>
      <c r="E175" t="s">
        <v>33</v>
      </c>
      <c r="F175" t="s">
        <v>20</v>
      </c>
      <c r="G175" t="s">
        <v>74</v>
      </c>
      <c r="H175" t="s">
        <v>112</v>
      </c>
      <c r="I175">
        <v>2</v>
      </c>
      <c r="J175">
        <v>129.99</v>
      </c>
      <c r="K175">
        <v>0.1</v>
      </c>
      <c r="L175" t="s">
        <v>37</v>
      </c>
      <c r="M175">
        <v>259.98</v>
      </c>
      <c r="N175">
        <v>26</v>
      </c>
      <c r="O175">
        <v>233.98</v>
      </c>
    </row>
    <row r="176" spans="1:15" x14ac:dyDescent="0.3">
      <c r="A176" t="s">
        <v>503</v>
      </c>
      <c r="B176" t="s">
        <v>504</v>
      </c>
      <c r="C176" t="s">
        <v>505</v>
      </c>
      <c r="D176" t="s">
        <v>72</v>
      </c>
      <c r="E176" t="s">
        <v>152</v>
      </c>
      <c r="F176" t="s">
        <v>34</v>
      </c>
      <c r="G176" t="s">
        <v>21</v>
      </c>
      <c r="H176" t="s">
        <v>22</v>
      </c>
      <c r="I176">
        <v>1</v>
      </c>
      <c r="J176">
        <v>89.99</v>
      </c>
      <c r="K176">
        <v>0.15</v>
      </c>
      <c r="L176" t="s">
        <v>80</v>
      </c>
      <c r="M176">
        <v>89.99</v>
      </c>
      <c r="N176">
        <v>13.5</v>
      </c>
      <c r="O176">
        <v>76.489999999999995</v>
      </c>
    </row>
    <row r="177" spans="1:15" x14ac:dyDescent="0.3">
      <c r="A177" t="s">
        <v>506</v>
      </c>
      <c r="B177" t="s">
        <v>242</v>
      </c>
      <c r="C177" t="s">
        <v>507</v>
      </c>
      <c r="D177" t="s">
        <v>18</v>
      </c>
      <c r="E177" t="s">
        <v>19</v>
      </c>
      <c r="F177" t="s">
        <v>34</v>
      </c>
      <c r="G177" t="s">
        <v>57</v>
      </c>
      <c r="H177" t="s">
        <v>300</v>
      </c>
      <c r="I177">
        <v>6</v>
      </c>
      <c r="J177">
        <v>179.99</v>
      </c>
      <c r="K177">
        <v>0.15</v>
      </c>
      <c r="L177" t="s">
        <v>47</v>
      </c>
      <c r="M177">
        <v>1079.94</v>
      </c>
      <c r="N177">
        <v>161.99</v>
      </c>
      <c r="O177">
        <v>917.95</v>
      </c>
    </row>
    <row r="178" spans="1:15" x14ac:dyDescent="0.3">
      <c r="A178" t="s">
        <v>508</v>
      </c>
      <c r="B178" t="s">
        <v>509</v>
      </c>
      <c r="C178" t="s">
        <v>318</v>
      </c>
      <c r="D178" t="s">
        <v>32</v>
      </c>
      <c r="E178" t="s">
        <v>33</v>
      </c>
      <c r="F178" t="s">
        <v>34</v>
      </c>
      <c r="G178" t="s">
        <v>21</v>
      </c>
      <c r="H178" t="s">
        <v>87</v>
      </c>
      <c r="I178">
        <v>6</v>
      </c>
      <c r="J178">
        <v>149.99</v>
      </c>
      <c r="K178">
        <v>0</v>
      </c>
      <c r="L178" t="s">
        <v>47</v>
      </c>
      <c r="M178">
        <v>899.94</v>
      </c>
      <c r="N178">
        <v>0</v>
      </c>
      <c r="O178">
        <v>899.94</v>
      </c>
    </row>
    <row r="179" spans="1:15" x14ac:dyDescent="0.3">
      <c r="A179" t="s">
        <v>510</v>
      </c>
      <c r="B179" t="s">
        <v>511</v>
      </c>
      <c r="C179" t="s">
        <v>491</v>
      </c>
      <c r="D179" t="s">
        <v>72</v>
      </c>
      <c r="E179" t="s">
        <v>73</v>
      </c>
      <c r="F179" t="s">
        <v>20</v>
      </c>
      <c r="G179" t="s">
        <v>35</v>
      </c>
      <c r="H179" t="s">
        <v>199</v>
      </c>
      <c r="I179">
        <v>3</v>
      </c>
      <c r="J179">
        <v>99.99</v>
      </c>
      <c r="K179">
        <v>0</v>
      </c>
      <c r="L179" t="s">
        <v>80</v>
      </c>
      <c r="M179">
        <v>299.97000000000003</v>
      </c>
      <c r="N179">
        <v>0</v>
      </c>
      <c r="O179">
        <v>299.97000000000003</v>
      </c>
    </row>
    <row r="180" spans="1:15" x14ac:dyDescent="0.3">
      <c r="A180" t="s">
        <v>512</v>
      </c>
      <c r="B180" t="s">
        <v>513</v>
      </c>
      <c r="C180" t="s">
        <v>163</v>
      </c>
      <c r="D180" t="s">
        <v>32</v>
      </c>
      <c r="E180" t="s">
        <v>33</v>
      </c>
      <c r="F180" t="s">
        <v>20</v>
      </c>
      <c r="G180" t="s">
        <v>57</v>
      </c>
      <c r="H180" t="s">
        <v>189</v>
      </c>
      <c r="I180">
        <v>5</v>
      </c>
      <c r="J180">
        <v>119.99</v>
      </c>
      <c r="K180">
        <v>0.05</v>
      </c>
      <c r="L180" t="s">
        <v>37</v>
      </c>
      <c r="M180">
        <v>599.95000000000005</v>
      </c>
      <c r="N180">
        <v>30</v>
      </c>
      <c r="O180">
        <v>569.95000000000005</v>
      </c>
    </row>
    <row r="181" spans="1:15" x14ac:dyDescent="0.3">
      <c r="A181" t="s">
        <v>514</v>
      </c>
      <c r="B181" t="s">
        <v>515</v>
      </c>
      <c r="C181" t="s">
        <v>516</v>
      </c>
      <c r="D181" t="s">
        <v>18</v>
      </c>
      <c r="E181" t="s">
        <v>56</v>
      </c>
      <c r="F181" t="s">
        <v>34</v>
      </c>
      <c r="G181" t="s">
        <v>57</v>
      </c>
      <c r="H181" t="s">
        <v>300</v>
      </c>
      <c r="I181">
        <v>1</v>
      </c>
      <c r="J181">
        <v>179.99</v>
      </c>
      <c r="K181">
        <v>0</v>
      </c>
      <c r="L181" t="s">
        <v>23</v>
      </c>
      <c r="M181">
        <v>179.99</v>
      </c>
      <c r="N181">
        <v>0</v>
      </c>
      <c r="O181">
        <v>179.99</v>
      </c>
    </row>
    <row r="182" spans="1:15" x14ac:dyDescent="0.3">
      <c r="A182" t="s">
        <v>517</v>
      </c>
      <c r="B182" t="s">
        <v>377</v>
      </c>
      <c r="C182" t="s">
        <v>518</v>
      </c>
      <c r="D182" t="s">
        <v>51</v>
      </c>
      <c r="E182" t="s">
        <v>52</v>
      </c>
      <c r="F182" t="s">
        <v>34</v>
      </c>
      <c r="G182" t="s">
        <v>74</v>
      </c>
      <c r="H182" t="s">
        <v>75</v>
      </c>
      <c r="I182">
        <v>6</v>
      </c>
      <c r="J182">
        <v>299.99</v>
      </c>
      <c r="K182">
        <v>0.05</v>
      </c>
      <c r="L182" t="s">
        <v>80</v>
      </c>
      <c r="M182">
        <v>1799.94</v>
      </c>
      <c r="N182">
        <v>90</v>
      </c>
      <c r="O182">
        <v>1709.94</v>
      </c>
    </row>
    <row r="183" spans="1:15" x14ac:dyDescent="0.3">
      <c r="A183" t="s">
        <v>519</v>
      </c>
      <c r="B183" t="s">
        <v>520</v>
      </c>
      <c r="C183" t="s">
        <v>507</v>
      </c>
      <c r="D183" t="s">
        <v>72</v>
      </c>
      <c r="E183" t="s">
        <v>73</v>
      </c>
      <c r="F183" t="s">
        <v>20</v>
      </c>
      <c r="G183" t="s">
        <v>74</v>
      </c>
      <c r="H183" t="s">
        <v>112</v>
      </c>
      <c r="I183">
        <v>5</v>
      </c>
      <c r="J183">
        <v>129.99</v>
      </c>
      <c r="K183">
        <v>0</v>
      </c>
      <c r="L183" t="s">
        <v>37</v>
      </c>
      <c r="M183">
        <v>649.95000000000005</v>
      </c>
      <c r="N183">
        <v>0</v>
      </c>
      <c r="O183">
        <v>649.95000000000005</v>
      </c>
    </row>
    <row r="184" spans="1:15" x14ac:dyDescent="0.3">
      <c r="A184" t="s">
        <v>521</v>
      </c>
      <c r="B184" t="s">
        <v>522</v>
      </c>
      <c r="C184" t="s">
        <v>523</v>
      </c>
      <c r="D184" t="s">
        <v>72</v>
      </c>
      <c r="E184" t="s">
        <v>152</v>
      </c>
      <c r="F184" t="s">
        <v>34</v>
      </c>
      <c r="G184" t="s">
        <v>57</v>
      </c>
      <c r="H184" t="s">
        <v>189</v>
      </c>
      <c r="I184">
        <v>2</v>
      </c>
      <c r="J184">
        <v>119.99</v>
      </c>
      <c r="K184">
        <v>0.15</v>
      </c>
      <c r="L184" t="s">
        <v>80</v>
      </c>
      <c r="M184">
        <v>239.98</v>
      </c>
      <c r="N184">
        <v>36</v>
      </c>
      <c r="O184">
        <v>203.98</v>
      </c>
    </row>
    <row r="185" spans="1:15" x14ac:dyDescent="0.3">
      <c r="A185" t="s">
        <v>524</v>
      </c>
      <c r="B185" t="s">
        <v>273</v>
      </c>
      <c r="C185" t="s">
        <v>192</v>
      </c>
      <c r="D185" t="s">
        <v>18</v>
      </c>
      <c r="E185" t="s">
        <v>19</v>
      </c>
      <c r="F185" t="s">
        <v>34</v>
      </c>
      <c r="G185" t="s">
        <v>57</v>
      </c>
      <c r="H185" t="s">
        <v>130</v>
      </c>
      <c r="I185">
        <v>1</v>
      </c>
      <c r="J185">
        <v>109.99</v>
      </c>
      <c r="K185">
        <v>0.15</v>
      </c>
      <c r="L185" t="s">
        <v>47</v>
      </c>
      <c r="M185">
        <v>109.99</v>
      </c>
      <c r="N185">
        <v>16.5</v>
      </c>
      <c r="O185">
        <v>93.49</v>
      </c>
    </row>
    <row r="186" spans="1:15" x14ac:dyDescent="0.3">
      <c r="A186" t="s">
        <v>525</v>
      </c>
      <c r="B186" t="s">
        <v>526</v>
      </c>
      <c r="C186" t="s">
        <v>352</v>
      </c>
      <c r="D186" t="s">
        <v>32</v>
      </c>
      <c r="E186" t="s">
        <v>33</v>
      </c>
      <c r="F186" t="s">
        <v>34</v>
      </c>
      <c r="G186" t="s">
        <v>21</v>
      </c>
      <c r="H186" t="s">
        <v>68</v>
      </c>
      <c r="I186">
        <v>1</v>
      </c>
      <c r="J186">
        <v>129.99</v>
      </c>
      <c r="K186">
        <v>0</v>
      </c>
      <c r="L186" t="s">
        <v>37</v>
      </c>
      <c r="M186">
        <v>129.99</v>
      </c>
      <c r="N186">
        <v>0</v>
      </c>
      <c r="O186">
        <v>129.99</v>
      </c>
    </row>
    <row r="187" spans="1:15" x14ac:dyDescent="0.3">
      <c r="A187" t="s">
        <v>527</v>
      </c>
      <c r="B187" t="s">
        <v>528</v>
      </c>
      <c r="C187" t="s">
        <v>372</v>
      </c>
      <c r="D187" t="s">
        <v>27</v>
      </c>
      <c r="E187" t="s">
        <v>123</v>
      </c>
      <c r="F187" t="s">
        <v>34</v>
      </c>
      <c r="G187" t="s">
        <v>74</v>
      </c>
      <c r="H187" t="s">
        <v>143</v>
      </c>
      <c r="I187">
        <v>2</v>
      </c>
      <c r="J187">
        <v>99.99</v>
      </c>
      <c r="K187">
        <v>0.15</v>
      </c>
      <c r="L187" t="s">
        <v>37</v>
      </c>
      <c r="M187">
        <v>199.98</v>
      </c>
      <c r="N187">
        <v>30</v>
      </c>
      <c r="O187">
        <v>169.98</v>
      </c>
    </row>
    <row r="188" spans="1:15" x14ac:dyDescent="0.3">
      <c r="A188" t="s">
        <v>529</v>
      </c>
      <c r="B188" t="s">
        <v>530</v>
      </c>
      <c r="C188" t="s">
        <v>531</v>
      </c>
      <c r="D188" t="s">
        <v>32</v>
      </c>
      <c r="E188" t="s">
        <v>45</v>
      </c>
      <c r="F188" t="s">
        <v>34</v>
      </c>
      <c r="G188" t="s">
        <v>74</v>
      </c>
      <c r="H188" t="s">
        <v>112</v>
      </c>
      <c r="I188">
        <v>5</v>
      </c>
      <c r="J188">
        <v>129.99</v>
      </c>
      <c r="K188">
        <v>0</v>
      </c>
      <c r="L188" t="s">
        <v>47</v>
      </c>
      <c r="M188">
        <v>649.95000000000005</v>
      </c>
      <c r="N188">
        <v>0</v>
      </c>
      <c r="O188">
        <v>649.95000000000005</v>
      </c>
    </row>
    <row r="189" spans="1:15" x14ac:dyDescent="0.3">
      <c r="A189" t="s">
        <v>532</v>
      </c>
      <c r="B189" t="s">
        <v>533</v>
      </c>
      <c r="C189" t="s">
        <v>534</v>
      </c>
      <c r="D189" t="s">
        <v>51</v>
      </c>
      <c r="E189" t="s">
        <v>52</v>
      </c>
      <c r="F189" t="s">
        <v>34</v>
      </c>
      <c r="G189" t="s">
        <v>21</v>
      </c>
      <c r="H189" t="s">
        <v>22</v>
      </c>
      <c r="I189">
        <v>5</v>
      </c>
      <c r="J189">
        <v>89.99</v>
      </c>
      <c r="K189">
        <v>0.05</v>
      </c>
      <c r="L189" t="s">
        <v>37</v>
      </c>
      <c r="M189">
        <v>449.95</v>
      </c>
      <c r="N189">
        <v>22.5</v>
      </c>
      <c r="O189">
        <v>427.45</v>
      </c>
    </row>
    <row r="190" spans="1:15" x14ac:dyDescent="0.3">
      <c r="A190" t="s">
        <v>535</v>
      </c>
      <c r="B190" t="s">
        <v>536</v>
      </c>
      <c r="C190" t="s">
        <v>537</v>
      </c>
      <c r="D190" t="s">
        <v>32</v>
      </c>
      <c r="E190" t="s">
        <v>33</v>
      </c>
      <c r="F190" t="s">
        <v>20</v>
      </c>
      <c r="G190" t="s">
        <v>74</v>
      </c>
      <c r="H190" t="s">
        <v>112</v>
      </c>
      <c r="I190">
        <v>6</v>
      </c>
      <c r="J190">
        <v>129.99</v>
      </c>
      <c r="K190">
        <v>0.05</v>
      </c>
      <c r="L190" t="s">
        <v>80</v>
      </c>
      <c r="M190">
        <v>779.94</v>
      </c>
      <c r="N190">
        <v>39</v>
      </c>
      <c r="O190">
        <v>740.94</v>
      </c>
    </row>
    <row r="191" spans="1:15" x14ac:dyDescent="0.3">
      <c r="A191" t="s">
        <v>538</v>
      </c>
      <c r="B191" t="s">
        <v>539</v>
      </c>
      <c r="C191" t="s">
        <v>262</v>
      </c>
      <c r="D191" t="s">
        <v>72</v>
      </c>
      <c r="E191" t="s">
        <v>73</v>
      </c>
      <c r="F191" t="s">
        <v>20</v>
      </c>
      <c r="G191" t="s">
        <v>74</v>
      </c>
      <c r="H191" t="s">
        <v>112</v>
      </c>
      <c r="I191">
        <v>6</v>
      </c>
      <c r="J191">
        <v>129.99</v>
      </c>
      <c r="K191">
        <v>0</v>
      </c>
      <c r="L191" t="s">
        <v>37</v>
      </c>
      <c r="M191">
        <v>779.94</v>
      </c>
      <c r="N191">
        <v>0</v>
      </c>
      <c r="O191">
        <v>779.94</v>
      </c>
    </row>
    <row r="192" spans="1:15" x14ac:dyDescent="0.3">
      <c r="A192" t="s">
        <v>540</v>
      </c>
      <c r="B192" t="s">
        <v>314</v>
      </c>
      <c r="C192" t="s">
        <v>236</v>
      </c>
      <c r="D192" t="s">
        <v>51</v>
      </c>
      <c r="E192" t="s">
        <v>52</v>
      </c>
      <c r="F192" t="s">
        <v>20</v>
      </c>
      <c r="G192" t="s">
        <v>57</v>
      </c>
      <c r="H192" t="s">
        <v>58</v>
      </c>
      <c r="I192">
        <v>5</v>
      </c>
      <c r="J192">
        <v>89.99</v>
      </c>
      <c r="K192">
        <v>0</v>
      </c>
      <c r="L192" t="s">
        <v>47</v>
      </c>
      <c r="M192">
        <v>449.95</v>
      </c>
      <c r="N192">
        <v>0</v>
      </c>
      <c r="O192">
        <v>449.95</v>
      </c>
    </row>
    <row r="193" spans="1:15" x14ac:dyDescent="0.3">
      <c r="A193" t="s">
        <v>541</v>
      </c>
      <c r="B193" t="s">
        <v>384</v>
      </c>
      <c r="C193" t="s">
        <v>343</v>
      </c>
      <c r="D193" t="s">
        <v>18</v>
      </c>
      <c r="E193" t="s">
        <v>56</v>
      </c>
      <c r="F193" t="s">
        <v>20</v>
      </c>
      <c r="G193" t="s">
        <v>74</v>
      </c>
      <c r="H193" t="s">
        <v>112</v>
      </c>
      <c r="I193">
        <v>4</v>
      </c>
      <c r="J193">
        <v>129.99</v>
      </c>
      <c r="K193">
        <v>0.1</v>
      </c>
      <c r="L193" t="s">
        <v>80</v>
      </c>
      <c r="M193">
        <v>519.96</v>
      </c>
      <c r="N193">
        <v>52</v>
      </c>
      <c r="O193">
        <v>467.96</v>
      </c>
    </row>
    <row r="194" spans="1:15" x14ac:dyDescent="0.3">
      <c r="A194" t="s">
        <v>542</v>
      </c>
      <c r="B194" t="s">
        <v>145</v>
      </c>
      <c r="C194" t="s">
        <v>543</v>
      </c>
      <c r="D194" t="s">
        <v>72</v>
      </c>
      <c r="E194" t="s">
        <v>152</v>
      </c>
      <c r="F194" t="s">
        <v>34</v>
      </c>
      <c r="G194" t="s">
        <v>57</v>
      </c>
      <c r="H194" t="s">
        <v>130</v>
      </c>
      <c r="I194">
        <v>4</v>
      </c>
      <c r="J194">
        <v>109.99</v>
      </c>
      <c r="K194">
        <v>0.1</v>
      </c>
      <c r="L194" t="s">
        <v>80</v>
      </c>
      <c r="M194">
        <v>439.96</v>
      </c>
      <c r="N194">
        <v>44</v>
      </c>
      <c r="O194">
        <v>395.96</v>
      </c>
    </row>
    <row r="195" spans="1:15" x14ac:dyDescent="0.3">
      <c r="A195" t="s">
        <v>544</v>
      </c>
      <c r="B195" t="s">
        <v>60</v>
      </c>
      <c r="C195" t="s">
        <v>349</v>
      </c>
      <c r="D195" t="s">
        <v>32</v>
      </c>
      <c r="E195" t="s">
        <v>33</v>
      </c>
      <c r="F195" t="s">
        <v>20</v>
      </c>
      <c r="G195" t="s">
        <v>74</v>
      </c>
      <c r="H195" t="s">
        <v>75</v>
      </c>
      <c r="I195">
        <v>2</v>
      </c>
      <c r="J195">
        <v>299.99</v>
      </c>
      <c r="K195">
        <v>0.1</v>
      </c>
      <c r="L195" t="s">
        <v>47</v>
      </c>
      <c r="M195">
        <v>599.98</v>
      </c>
      <c r="N195">
        <v>60</v>
      </c>
      <c r="O195">
        <v>539.98</v>
      </c>
    </row>
    <row r="196" spans="1:15" x14ac:dyDescent="0.3">
      <c r="A196" t="s">
        <v>545</v>
      </c>
      <c r="B196" t="s">
        <v>449</v>
      </c>
      <c r="C196" t="s">
        <v>546</v>
      </c>
      <c r="D196" t="s">
        <v>27</v>
      </c>
      <c r="E196" t="s">
        <v>28</v>
      </c>
      <c r="F196" t="s">
        <v>20</v>
      </c>
      <c r="G196" t="s">
        <v>74</v>
      </c>
      <c r="H196" t="s">
        <v>143</v>
      </c>
      <c r="I196">
        <v>5</v>
      </c>
      <c r="J196">
        <v>99.99</v>
      </c>
      <c r="K196">
        <v>0</v>
      </c>
      <c r="L196" t="s">
        <v>37</v>
      </c>
      <c r="M196">
        <v>499.95</v>
      </c>
      <c r="N196">
        <v>0</v>
      </c>
      <c r="O196">
        <v>499.95</v>
      </c>
    </row>
    <row r="197" spans="1:15" x14ac:dyDescent="0.3">
      <c r="A197" t="s">
        <v>547</v>
      </c>
      <c r="B197" t="s">
        <v>548</v>
      </c>
      <c r="C197" t="s">
        <v>157</v>
      </c>
      <c r="D197" t="s">
        <v>32</v>
      </c>
      <c r="E197" t="s">
        <v>33</v>
      </c>
      <c r="F197" t="s">
        <v>34</v>
      </c>
      <c r="G197" t="s">
        <v>35</v>
      </c>
      <c r="H197" t="s">
        <v>134</v>
      </c>
      <c r="I197">
        <v>1</v>
      </c>
      <c r="J197">
        <v>139.99</v>
      </c>
      <c r="K197">
        <v>0</v>
      </c>
      <c r="L197" t="s">
        <v>47</v>
      </c>
      <c r="M197">
        <v>139.99</v>
      </c>
      <c r="N197">
        <v>0</v>
      </c>
      <c r="O197">
        <v>139.99</v>
      </c>
    </row>
    <row r="198" spans="1:15" x14ac:dyDescent="0.3">
      <c r="A198" t="s">
        <v>549</v>
      </c>
      <c r="B198" t="s">
        <v>550</v>
      </c>
      <c r="C198" t="s">
        <v>551</v>
      </c>
      <c r="D198" t="s">
        <v>32</v>
      </c>
      <c r="E198" t="s">
        <v>45</v>
      </c>
      <c r="F198" t="s">
        <v>34</v>
      </c>
      <c r="G198" t="s">
        <v>57</v>
      </c>
      <c r="H198" t="s">
        <v>300</v>
      </c>
      <c r="I198">
        <v>5</v>
      </c>
      <c r="J198">
        <v>179.99</v>
      </c>
      <c r="K198">
        <v>0.1</v>
      </c>
      <c r="L198" t="s">
        <v>80</v>
      </c>
      <c r="M198">
        <v>899.95</v>
      </c>
      <c r="N198">
        <v>90</v>
      </c>
      <c r="O198">
        <v>809.95</v>
      </c>
    </row>
    <row r="199" spans="1:15" x14ac:dyDescent="0.3">
      <c r="A199" t="s">
        <v>552</v>
      </c>
      <c r="B199" t="s">
        <v>455</v>
      </c>
      <c r="C199" t="s">
        <v>166</v>
      </c>
      <c r="D199" t="s">
        <v>27</v>
      </c>
      <c r="E199" t="s">
        <v>123</v>
      </c>
      <c r="F199" t="s">
        <v>34</v>
      </c>
      <c r="G199" t="s">
        <v>21</v>
      </c>
      <c r="H199" t="s">
        <v>22</v>
      </c>
      <c r="I199">
        <v>5</v>
      </c>
      <c r="J199">
        <v>89.99</v>
      </c>
      <c r="K199">
        <v>0</v>
      </c>
      <c r="L199" t="s">
        <v>80</v>
      </c>
      <c r="M199">
        <v>449.95</v>
      </c>
      <c r="N199">
        <v>0</v>
      </c>
      <c r="O199">
        <v>449.95</v>
      </c>
    </row>
    <row r="200" spans="1:15" x14ac:dyDescent="0.3">
      <c r="A200" t="s">
        <v>553</v>
      </c>
      <c r="B200" t="s">
        <v>251</v>
      </c>
      <c r="C200" t="s">
        <v>243</v>
      </c>
      <c r="D200" t="s">
        <v>32</v>
      </c>
      <c r="E200" t="s">
        <v>33</v>
      </c>
      <c r="F200" t="s">
        <v>34</v>
      </c>
      <c r="G200" t="s">
        <v>74</v>
      </c>
      <c r="H200" t="s">
        <v>143</v>
      </c>
      <c r="I200">
        <v>6</v>
      </c>
      <c r="J200">
        <v>99.99</v>
      </c>
      <c r="K200">
        <v>0</v>
      </c>
      <c r="L200" t="s">
        <v>37</v>
      </c>
      <c r="M200">
        <v>599.94000000000005</v>
      </c>
      <c r="N200">
        <v>0</v>
      </c>
      <c r="O200">
        <v>599.94000000000005</v>
      </c>
    </row>
    <row r="201" spans="1:15" x14ac:dyDescent="0.3">
      <c r="A201" t="s">
        <v>554</v>
      </c>
      <c r="B201" t="s">
        <v>251</v>
      </c>
      <c r="C201" t="s">
        <v>318</v>
      </c>
      <c r="D201" t="s">
        <v>27</v>
      </c>
      <c r="E201" t="s">
        <v>28</v>
      </c>
      <c r="F201" t="s">
        <v>20</v>
      </c>
      <c r="G201" t="s">
        <v>74</v>
      </c>
      <c r="H201" t="s">
        <v>112</v>
      </c>
      <c r="I201">
        <v>4</v>
      </c>
      <c r="J201">
        <v>129.99</v>
      </c>
      <c r="K201">
        <v>0.05</v>
      </c>
      <c r="L201" t="s">
        <v>37</v>
      </c>
      <c r="M201">
        <v>519.96</v>
      </c>
      <c r="N201">
        <v>26</v>
      </c>
      <c r="O201">
        <v>493.96</v>
      </c>
    </row>
    <row r="202" spans="1:15" x14ac:dyDescent="0.3">
      <c r="A202" t="s">
        <v>555</v>
      </c>
      <c r="B202" t="s">
        <v>556</v>
      </c>
      <c r="C202" t="s">
        <v>557</v>
      </c>
      <c r="D202" t="s">
        <v>18</v>
      </c>
      <c r="E202" t="s">
        <v>56</v>
      </c>
      <c r="F202" t="s">
        <v>34</v>
      </c>
      <c r="G202" t="s">
        <v>62</v>
      </c>
      <c r="H202" t="s">
        <v>63</v>
      </c>
      <c r="I202">
        <v>6</v>
      </c>
      <c r="J202">
        <v>199.99</v>
      </c>
      <c r="K202">
        <v>0</v>
      </c>
      <c r="L202" t="s">
        <v>80</v>
      </c>
      <c r="M202">
        <v>1199.94</v>
      </c>
      <c r="N202">
        <v>0</v>
      </c>
      <c r="O202">
        <v>1199.94</v>
      </c>
    </row>
    <row r="203" spans="1:15" x14ac:dyDescent="0.3">
      <c r="A203" t="s">
        <v>558</v>
      </c>
      <c r="B203" t="s">
        <v>70</v>
      </c>
      <c r="C203" t="s">
        <v>559</v>
      </c>
      <c r="D203" t="s">
        <v>72</v>
      </c>
      <c r="E203" t="s">
        <v>73</v>
      </c>
      <c r="F203" t="s">
        <v>20</v>
      </c>
      <c r="G203" t="s">
        <v>57</v>
      </c>
      <c r="H203" t="s">
        <v>58</v>
      </c>
      <c r="I203">
        <v>3</v>
      </c>
      <c r="J203">
        <v>89.99</v>
      </c>
      <c r="K203">
        <v>0.05</v>
      </c>
      <c r="L203" t="s">
        <v>80</v>
      </c>
      <c r="M203">
        <v>269.97000000000003</v>
      </c>
      <c r="N203">
        <v>13.5</v>
      </c>
      <c r="O203">
        <v>256.47000000000003</v>
      </c>
    </row>
    <row r="204" spans="1:15" x14ac:dyDescent="0.3">
      <c r="A204" t="s">
        <v>560</v>
      </c>
      <c r="B204" t="s">
        <v>561</v>
      </c>
      <c r="C204" t="s">
        <v>562</v>
      </c>
      <c r="D204" t="s">
        <v>32</v>
      </c>
      <c r="E204" t="s">
        <v>33</v>
      </c>
      <c r="F204" t="s">
        <v>34</v>
      </c>
      <c r="G204" t="s">
        <v>57</v>
      </c>
      <c r="H204" t="s">
        <v>130</v>
      </c>
      <c r="I204">
        <v>2</v>
      </c>
      <c r="J204">
        <v>109.99</v>
      </c>
      <c r="K204">
        <v>0</v>
      </c>
      <c r="L204" t="s">
        <v>47</v>
      </c>
      <c r="M204">
        <v>219.98</v>
      </c>
      <c r="N204">
        <v>0</v>
      </c>
      <c r="O204">
        <v>219.98</v>
      </c>
    </row>
    <row r="205" spans="1:15" x14ac:dyDescent="0.3">
      <c r="A205" t="s">
        <v>563</v>
      </c>
      <c r="B205" t="s">
        <v>564</v>
      </c>
      <c r="C205" t="s">
        <v>565</v>
      </c>
      <c r="D205" t="s">
        <v>32</v>
      </c>
      <c r="E205" t="s">
        <v>33</v>
      </c>
      <c r="F205" t="s">
        <v>20</v>
      </c>
      <c r="G205" t="s">
        <v>35</v>
      </c>
      <c r="H205" t="s">
        <v>36</v>
      </c>
      <c r="I205">
        <v>4</v>
      </c>
      <c r="J205">
        <v>79.989999999999995</v>
      </c>
      <c r="K205">
        <v>0</v>
      </c>
      <c r="L205" t="s">
        <v>23</v>
      </c>
      <c r="M205">
        <v>319.95999999999998</v>
      </c>
      <c r="N205">
        <v>0</v>
      </c>
      <c r="O205">
        <v>319.95999999999998</v>
      </c>
    </row>
    <row r="206" spans="1:15" x14ac:dyDescent="0.3">
      <c r="A206" t="s">
        <v>566</v>
      </c>
      <c r="B206" t="s">
        <v>567</v>
      </c>
      <c r="C206" t="s">
        <v>568</v>
      </c>
      <c r="D206" t="s">
        <v>51</v>
      </c>
      <c r="E206" t="s">
        <v>108</v>
      </c>
      <c r="F206" t="s">
        <v>34</v>
      </c>
      <c r="G206" t="s">
        <v>62</v>
      </c>
      <c r="H206" t="s">
        <v>79</v>
      </c>
      <c r="I206">
        <v>5</v>
      </c>
      <c r="J206">
        <v>249.99</v>
      </c>
      <c r="K206">
        <v>0</v>
      </c>
      <c r="L206" t="s">
        <v>23</v>
      </c>
      <c r="M206">
        <v>1249.95</v>
      </c>
      <c r="N206">
        <v>0</v>
      </c>
      <c r="O206">
        <v>1249.95</v>
      </c>
    </row>
    <row r="207" spans="1:15" x14ac:dyDescent="0.3">
      <c r="A207" t="s">
        <v>569</v>
      </c>
      <c r="B207" t="s">
        <v>570</v>
      </c>
      <c r="C207" t="s">
        <v>149</v>
      </c>
      <c r="D207" t="s">
        <v>18</v>
      </c>
      <c r="E207" t="s">
        <v>19</v>
      </c>
      <c r="F207" t="s">
        <v>34</v>
      </c>
      <c r="G207" t="s">
        <v>62</v>
      </c>
      <c r="H207" t="s">
        <v>79</v>
      </c>
      <c r="I207">
        <v>1</v>
      </c>
      <c r="J207">
        <v>249.99</v>
      </c>
      <c r="K207">
        <v>0.05</v>
      </c>
      <c r="L207" t="s">
        <v>37</v>
      </c>
      <c r="M207">
        <v>249.99</v>
      </c>
      <c r="N207">
        <v>12.5</v>
      </c>
      <c r="O207">
        <v>237.49</v>
      </c>
    </row>
    <row r="208" spans="1:15" x14ac:dyDescent="0.3">
      <c r="A208" t="s">
        <v>571</v>
      </c>
      <c r="B208" t="s">
        <v>533</v>
      </c>
      <c r="C208" t="s">
        <v>572</v>
      </c>
      <c r="D208" t="s">
        <v>27</v>
      </c>
      <c r="E208" t="s">
        <v>67</v>
      </c>
      <c r="F208" t="s">
        <v>34</v>
      </c>
      <c r="G208" t="s">
        <v>74</v>
      </c>
      <c r="H208" t="s">
        <v>75</v>
      </c>
      <c r="I208">
        <v>1</v>
      </c>
      <c r="J208">
        <v>299.99</v>
      </c>
      <c r="K208">
        <v>0.1</v>
      </c>
      <c r="L208" t="s">
        <v>37</v>
      </c>
      <c r="M208">
        <v>299.99</v>
      </c>
      <c r="N208">
        <v>30</v>
      </c>
      <c r="O208">
        <v>269.99</v>
      </c>
    </row>
    <row r="209" spans="1:15" x14ac:dyDescent="0.3">
      <c r="A209" t="s">
        <v>573</v>
      </c>
      <c r="B209" t="s">
        <v>574</v>
      </c>
      <c r="C209" t="s">
        <v>575</v>
      </c>
      <c r="D209" t="s">
        <v>32</v>
      </c>
      <c r="E209" t="s">
        <v>33</v>
      </c>
      <c r="F209" t="s">
        <v>20</v>
      </c>
      <c r="G209" t="s">
        <v>21</v>
      </c>
      <c r="H209" t="s">
        <v>46</v>
      </c>
      <c r="I209">
        <v>5</v>
      </c>
      <c r="J209">
        <v>119.99</v>
      </c>
      <c r="K209">
        <v>0</v>
      </c>
      <c r="L209" t="s">
        <v>47</v>
      </c>
      <c r="M209">
        <v>599.95000000000005</v>
      </c>
      <c r="N209">
        <v>0</v>
      </c>
      <c r="O209">
        <v>599.95000000000005</v>
      </c>
    </row>
    <row r="210" spans="1:15" x14ac:dyDescent="0.3">
      <c r="A210" t="s">
        <v>576</v>
      </c>
      <c r="B210" t="s">
        <v>414</v>
      </c>
      <c r="C210" t="s">
        <v>577</v>
      </c>
      <c r="D210" t="s">
        <v>18</v>
      </c>
      <c r="E210" t="s">
        <v>56</v>
      </c>
      <c r="F210" t="s">
        <v>34</v>
      </c>
      <c r="G210" t="s">
        <v>21</v>
      </c>
      <c r="H210" t="s">
        <v>46</v>
      </c>
      <c r="I210">
        <v>5</v>
      </c>
      <c r="J210">
        <v>119.99</v>
      </c>
      <c r="K210">
        <v>0</v>
      </c>
      <c r="L210" t="s">
        <v>80</v>
      </c>
      <c r="M210">
        <v>599.95000000000005</v>
      </c>
      <c r="N210">
        <v>0</v>
      </c>
      <c r="O210">
        <v>599.95000000000005</v>
      </c>
    </row>
    <row r="211" spans="1:15" x14ac:dyDescent="0.3">
      <c r="A211" t="s">
        <v>578</v>
      </c>
      <c r="B211" t="s">
        <v>579</v>
      </c>
      <c r="C211" t="s">
        <v>580</v>
      </c>
      <c r="D211" t="s">
        <v>51</v>
      </c>
      <c r="E211" t="s">
        <v>52</v>
      </c>
      <c r="F211" t="s">
        <v>20</v>
      </c>
      <c r="G211" t="s">
        <v>21</v>
      </c>
      <c r="H211" t="s">
        <v>22</v>
      </c>
      <c r="I211">
        <v>4</v>
      </c>
      <c r="J211">
        <v>89.99</v>
      </c>
      <c r="K211">
        <v>0.1</v>
      </c>
      <c r="L211" t="s">
        <v>37</v>
      </c>
      <c r="M211">
        <v>359.96</v>
      </c>
      <c r="N211">
        <v>36</v>
      </c>
      <c r="O211">
        <v>323.95999999999998</v>
      </c>
    </row>
    <row r="212" spans="1:15" x14ac:dyDescent="0.3">
      <c r="A212" t="s">
        <v>581</v>
      </c>
      <c r="B212" t="s">
        <v>582</v>
      </c>
      <c r="C212" t="s">
        <v>583</v>
      </c>
      <c r="D212" t="s">
        <v>51</v>
      </c>
      <c r="E212" t="s">
        <v>52</v>
      </c>
      <c r="F212" t="s">
        <v>34</v>
      </c>
      <c r="G212" t="s">
        <v>62</v>
      </c>
      <c r="H212" t="s">
        <v>249</v>
      </c>
      <c r="I212">
        <v>5</v>
      </c>
      <c r="J212">
        <v>49.99</v>
      </c>
      <c r="K212">
        <v>0.15</v>
      </c>
      <c r="L212" t="s">
        <v>23</v>
      </c>
      <c r="M212">
        <v>249.95</v>
      </c>
      <c r="N212">
        <v>37.49</v>
      </c>
      <c r="O212">
        <v>212.46</v>
      </c>
    </row>
    <row r="213" spans="1:15" x14ac:dyDescent="0.3">
      <c r="A213" t="s">
        <v>584</v>
      </c>
      <c r="B213" t="s">
        <v>197</v>
      </c>
      <c r="C213" t="s">
        <v>585</v>
      </c>
      <c r="D213" t="s">
        <v>72</v>
      </c>
      <c r="E213" t="s">
        <v>73</v>
      </c>
      <c r="F213" t="s">
        <v>34</v>
      </c>
      <c r="G213" t="s">
        <v>62</v>
      </c>
      <c r="H213" t="s">
        <v>249</v>
      </c>
      <c r="I213">
        <v>3</v>
      </c>
      <c r="J213">
        <v>49.99</v>
      </c>
      <c r="K213">
        <v>0</v>
      </c>
      <c r="L213" t="s">
        <v>37</v>
      </c>
      <c r="M213">
        <v>149.97</v>
      </c>
      <c r="N213">
        <v>0</v>
      </c>
      <c r="O213">
        <v>149.97</v>
      </c>
    </row>
    <row r="214" spans="1:15" x14ac:dyDescent="0.3">
      <c r="A214" t="s">
        <v>586</v>
      </c>
      <c r="B214" t="s">
        <v>587</v>
      </c>
      <c r="C214" t="s">
        <v>588</v>
      </c>
      <c r="D214" t="s">
        <v>18</v>
      </c>
      <c r="E214" t="s">
        <v>19</v>
      </c>
      <c r="F214" t="s">
        <v>20</v>
      </c>
      <c r="G214" t="s">
        <v>21</v>
      </c>
      <c r="H214" t="s">
        <v>46</v>
      </c>
      <c r="I214">
        <v>6</v>
      </c>
      <c r="J214">
        <v>119.99</v>
      </c>
      <c r="K214">
        <v>0</v>
      </c>
      <c r="L214" t="s">
        <v>23</v>
      </c>
      <c r="M214">
        <v>719.94</v>
      </c>
      <c r="N214">
        <v>0</v>
      </c>
      <c r="O214">
        <v>719.94</v>
      </c>
    </row>
    <row r="215" spans="1:15" x14ac:dyDescent="0.3">
      <c r="A215" t="s">
        <v>589</v>
      </c>
      <c r="B215" t="s">
        <v>181</v>
      </c>
      <c r="C215" t="s">
        <v>92</v>
      </c>
      <c r="D215" t="s">
        <v>27</v>
      </c>
      <c r="E215" t="s">
        <v>123</v>
      </c>
      <c r="F215" t="s">
        <v>34</v>
      </c>
      <c r="G215" t="s">
        <v>35</v>
      </c>
      <c r="H215" t="s">
        <v>41</v>
      </c>
      <c r="I215">
        <v>6</v>
      </c>
      <c r="J215">
        <v>104.99</v>
      </c>
      <c r="K215">
        <v>0</v>
      </c>
      <c r="L215" t="s">
        <v>37</v>
      </c>
      <c r="M215">
        <v>629.94000000000005</v>
      </c>
      <c r="N215">
        <v>0</v>
      </c>
      <c r="O215">
        <v>629.94000000000005</v>
      </c>
    </row>
    <row r="216" spans="1:15" x14ac:dyDescent="0.3">
      <c r="A216" t="s">
        <v>590</v>
      </c>
      <c r="B216" t="s">
        <v>591</v>
      </c>
      <c r="C216" t="s">
        <v>294</v>
      </c>
      <c r="D216" t="s">
        <v>72</v>
      </c>
      <c r="E216" t="s">
        <v>73</v>
      </c>
      <c r="F216" t="s">
        <v>34</v>
      </c>
      <c r="G216" t="s">
        <v>74</v>
      </c>
      <c r="H216" t="s">
        <v>112</v>
      </c>
      <c r="I216">
        <v>4</v>
      </c>
      <c r="J216">
        <v>129.99</v>
      </c>
      <c r="K216">
        <v>0.1</v>
      </c>
      <c r="L216" t="s">
        <v>80</v>
      </c>
      <c r="M216">
        <v>519.96</v>
      </c>
      <c r="N216">
        <v>52</v>
      </c>
      <c r="O216">
        <v>467.96</v>
      </c>
    </row>
    <row r="217" spans="1:15" x14ac:dyDescent="0.3">
      <c r="A217" t="s">
        <v>592</v>
      </c>
      <c r="B217" t="s">
        <v>593</v>
      </c>
      <c r="C217" t="s">
        <v>594</v>
      </c>
      <c r="D217" t="s">
        <v>32</v>
      </c>
      <c r="E217" t="s">
        <v>33</v>
      </c>
      <c r="F217" t="s">
        <v>34</v>
      </c>
      <c r="G217" t="s">
        <v>35</v>
      </c>
      <c r="H217" t="s">
        <v>41</v>
      </c>
      <c r="I217">
        <v>6</v>
      </c>
      <c r="J217">
        <v>104.99</v>
      </c>
      <c r="K217">
        <v>0.05</v>
      </c>
      <c r="L217" t="s">
        <v>47</v>
      </c>
      <c r="M217">
        <v>629.94000000000005</v>
      </c>
      <c r="N217">
        <v>31.5</v>
      </c>
      <c r="O217">
        <v>598.44000000000005</v>
      </c>
    </row>
    <row r="218" spans="1:15" x14ac:dyDescent="0.3">
      <c r="A218" t="s">
        <v>595</v>
      </c>
      <c r="B218" t="s">
        <v>596</v>
      </c>
      <c r="C218" t="s">
        <v>466</v>
      </c>
      <c r="D218" t="s">
        <v>18</v>
      </c>
      <c r="E218" t="s">
        <v>56</v>
      </c>
      <c r="F218" t="s">
        <v>34</v>
      </c>
      <c r="G218" t="s">
        <v>74</v>
      </c>
      <c r="H218" t="s">
        <v>143</v>
      </c>
      <c r="I218">
        <v>6</v>
      </c>
      <c r="J218">
        <v>99.99</v>
      </c>
      <c r="K218">
        <v>0.15</v>
      </c>
      <c r="L218" t="s">
        <v>23</v>
      </c>
      <c r="M218">
        <v>599.94000000000005</v>
      </c>
      <c r="N218">
        <v>89.99</v>
      </c>
      <c r="O218">
        <v>509.95</v>
      </c>
    </row>
    <row r="219" spans="1:15" x14ac:dyDescent="0.3">
      <c r="A219" t="s">
        <v>597</v>
      </c>
      <c r="B219" t="s">
        <v>405</v>
      </c>
      <c r="C219" t="s">
        <v>598</v>
      </c>
      <c r="D219" t="s">
        <v>18</v>
      </c>
      <c r="E219" t="s">
        <v>56</v>
      </c>
      <c r="F219" t="s">
        <v>20</v>
      </c>
      <c r="G219" t="s">
        <v>35</v>
      </c>
      <c r="H219" t="s">
        <v>41</v>
      </c>
      <c r="I219">
        <v>2</v>
      </c>
      <c r="J219">
        <v>104.99</v>
      </c>
      <c r="K219">
        <v>0</v>
      </c>
      <c r="L219" t="s">
        <v>23</v>
      </c>
      <c r="M219">
        <v>209.98</v>
      </c>
      <c r="N219">
        <v>0</v>
      </c>
      <c r="O219">
        <v>209.98</v>
      </c>
    </row>
    <row r="220" spans="1:15" x14ac:dyDescent="0.3">
      <c r="A220" t="s">
        <v>599</v>
      </c>
      <c r="B220" t="s">
        <v>600</v>
      </c>
      <c r="C220" t="s">
        <v>17</v>
      </c>
      <c r="D220" t="s">
        <v>18</v>
      </c>
      <c r="E220" t="s">
        <v>56</v>
      </c>
      <c r="F220" t="s">
        <v>34</v>
      </c>
      <c r="G220" t="s">
        <v>57</v>
      </c>
      <c r="H220" t="s">
        <v>130</v>
      </c>
      <c r="I220">
        <v>3</v>
      </c>
      <c r="J220">
        <v>109.99</v>
      </c>
      <c r="K220">
        <v>0</v>
      </c>
      <c r="L220" t="s">
        <v>23</v>
      </c>
      <c r="M220">
        <v>329.97</v>
      </c>
      <c r="N220">
        <v>0</v>
      </c>
      <c r="O220">
        <v>329.97</v>
      </c>
    </row>
    <row r="221" spans="1:15" x14ac:dyDescent="0.3">
      <c r="A221" t="s">
        <v>601</v>
      </c>
      <c r="B221" t="s">
        <v>342</v>
      </c>
      <c r="C221" t="s">
        <v>262</v>
      </c>
      <c r="D221" t="s">
        <v>18</v>
      </c>
      <c r="E221" t="s">
        <v>19</v>
      </c>
      <c r="F221" t="s">
        <v>34</v>
      </c>
      <c r="G221" t="s">
        <v>57</v>
      </c>
      <c r="H221" t="s">
        <v>58</v>
      </c>
      <c r="I221">
        <v>3</v>
      </c>
      <c r="J221">
        <v>89.99</v>
      </c>
      <c r="K221">
        <v>0.15</v>
      </c>
      <c r="L221" t="s">
        <v>37</v>
      </c>
      <c r="M221">
        <v>269.97000000000003</v>
      </c>
      <c r="N221">
        <v>40.5</v>
      </c>
      <c r="O221">
        <v>229.47</v>
      </c>
    </row>
    <row r="222" spans="1:15" x14ac:dyDescent="0.3">
      <c r="A222" t="s">
        <v>602</v>
      </c>
      <c r="B222" t="s">
        <v>603</v>
      </c>
      <c r="C222" t="s">
        <v>480</v>
      </c>
      <c r="D222" t="s">
        <v>51</v>
      </c>
      <c r="E222" t="s">
        <v>52</v>
      </c>
      <c r="F222" t="s">
        <v>20</v>
      </c>
      <c r="G222" t="s">
        <v>74</v>
      </c>
      <c r="H222" t="s">
        <v>112</v>
      </c>
      <c r="I222">
        <v>5</v>
      </c>
      <c r="J222">
        <v>129.99</v>
      </c>
      <c r="K222">
        <v>0.15</v>
      </c>
      <c r="L222" t="s">
        <v>47</v>
      </c>
      <c r="M222">
        <v>649.95000000000005</v>
      </c>
      <c r="N222">
        <v>97.49</v>
      </c>
      <c r="O222">
        <v>552.46</v>
      </c>
    </row>
    <row r="223" spans="1:15" x14ac:dyDescent="0.3">
      <c r="A223" t="s">
        <v>604</v>
      </c>
      <c r="B223" t="s">
        <v>605</v>
      </c>
      <c r="C223" t="s">
        <v>606</v>
      </c>
      <c r="D223" t="s">
        <v>32</v>
      </c>
      <c r="E223" t="s">
        <v>45</v>
      </c>
      <c r="F223" t="s">
        <v>34</v>
      </c>
      <c r="G223" t="s">
        <v>35</v>
      </c>
      <c r="H223" t="s">
        <v>199</v>
      </c>
      <c r="I223">
        <v>6</v>
      </c>
      <c r="J223">
        <v>99.99</v>
      </c>
      <c r="K223">
        <v>0</v>
      </c>
      <c r="L223" t="s">
        <v>37</v>
      </c>
      <c r="M223">
        <v>599.94000000000005</v>
      </c>
      <c r="N223">
        <v>0</v>
      </c>
      <c r="O223">
        <v>599.94000000000005</v>
      </c>
    </row>
    <row r="224" spans="1:15" x14ac:dyDescent="0.3">
      <c r="A224" t="s">
        <v>607</v>
      </c>
      <c r="B224" t="s">
        <v>608</v>
      </c>
      <c r="C224" t="s">
        <v>609</v>
      </c>
      <c r="D224" t="s">
        <v>51</v>
      </c>
      <c r="E224" t="s">
        <v>108</v>
      </c>
      <c r="F224" t="s">
        <v>34</v>
      </c>
      <c r="G224" t="s">
        <v>74</v>
      </c>
      <c r="H224" t="s">
        <v>112</v>
      </c>
      <c r="I224">
        <v>5</v>
      </c>
      <c r="J224">
        <v>129.99</v>
      </c>
      <c r="K224">
        <v>0</v>
      </c>
      <c r="L224" t="s">
        <v>23</v>
      </c>
      <c r="M224">
        <v>649.95000000000005</v>
      </c>
      <c r="N224">
        <v>0</v>
      </c>
      <c r="O224">
        <v>649.95000000000005</v>
      </c>
    </row>
    <row r="225" spans="1:15" x14ac:dyDescent="0.3">
      <c r="A225" t="s">
        <v>610</v>
      </c>
      <c r="B225" t="s">
        <v>611</v>
      </c>
      <c r="C225" t="s">
        <v>612</v>
      </c>
      <c r="D225" t="s">
        <v>18</v>
      </c>
      <c r="E225" t="s">
        <v>56</v>
      </c>
      <c r="F225" t="s">
        <v>20</v>
      </c>
      <c r="G225" t="s">
        <v>35</v>
      </c>
      <c r="H225" t="s">
        <v>134</v>
      </c>
      <c r="I225">
        <v>6</v>
      </c>
      <c r="J225">
        <v>139.99</v>
      </c>
      <c r="K225">
        <v>0</v>
      </c>
      <c r="L225" t="s">
        <v>80</v>
      </c>
      <c r="M225">
        <v>839.94</v>
      </c>
      <c r="N225">
        <v>0</v>
      </c>
      <c r="O225">
        <v>839.94</v>
      </c>
    </row>
    <row r="226" spans="1:15" x14ac:dyDescent="0.3">
      <c r="A226" t="s">
        <v>613</v>
      </c>
      <c r="B226" t="s">
        <v>614</v>
      </c>
      <c r="C226" t="s">
        <v>562</v>
      </c>
      <c r="D226" t="s">
        <v>51</v>
      </c>
      <c r="E226" t="s">
        <v>108</v>
      </c>
      <c r="F226" t="s">
        <v>34</v>
      </c>
      <c r="G226" t="s">
        <v>35</v>
      </c>
      <c r="H226" t="s">
        <v>36</v>
      </c>
      <c r="I226">
        <v>4</v>
      </c>
      <c r="J226">
        <v>79.989999999999995</v>
      </c>
      <c r="K226">
        <v>0.05</v>
      </c>
      <c r="L226" t="s">
        <v>80</v>
      </c>
      <c r="M226">
        <v>319.95999999999998</v>
      </c>
      <c r="N226">
        <v>16</v>
      </c>
      <c r="O226">
        <v>303.95999999999998</v>
      </c>
    </row>
    <row r="227" spans="1:15" x14ac:dyDescent="0.3">
      <c r="A227" t="s">
        <v>615</v>
      </c>
      <c r="B227" t="s">
        <v>616</v>
      </c>
      <c r="C227" t="s">
        <v>466</v>
      </c>
      <c r="D227" t="s">
        <v>32</v>
      </c>
      <c r="E227" t="s">
        <v>45</v>
      </c>
      <c r="F227" t="s">
        <v>34</v>
      </c>
      <c r="G227" t="s">
        <v>21</v>
      </c>
      <c r="H227" t="s">
        <v>87</v>
      </c>
      <c r="I227">
        <v>3</v>
      </c>
      <c r="J227">
        <v>149.99</v>
      </c>
      <c r="K227">
        <v>0</v>
      </c>
      <c r="L227" t="s">
        <v>47</v>
      </c>
      <c r="M227">
        <v>449.97</v>
      </c>
      <c r="N227">
        <v>0</v>
      </c>
      <c r="O227">
        <v>449.97</v>
      </c>
    </row>
    <row r="228" spans="1:15" x14ac:dyDescent="0.3">
      <c r="A228" t="s">
        <v>617</v>
      </c>
      <c r="B228" t="s">
        <v>618</v>
      </c>
      <c r="C228" t="s">
        <v>95</v>
      </c>
      <c r="D228" t="s">
        <v>18</v>
      </c>
      <c r="E228" t="s">
        <v>19</v>
      </c>
      <c r="F228" t="s">
        <v>34</v>
      </c>
      <c r="G228" t="s">
        <v>62</v>
      </c>
      <c r="H228" t="s">
        <v>79</v>
      </c>
      <c r="I228">
        <v>1</v>
      </c>
      <c r="J228">
        <v>249.99</v>
      </c>
      <c r="K228">
        <v>0</v>
      </c>
      <c r="L228" t="s">
        <v>37</v>
      </c>
      <c r="M228">
        <v>249.99</v>
      </c>
      <c r="N228">
        <v>0</v>
      </c>
      <c r="O228">
        <v>249.99</v>
      </c>
    </row>
    <row r="229" spans="1:15" x14ac:dyDescent="0.3">
      <c r="A229" t="s">
        <v>619</v>
      </c>
      <c r="B229" t="s">
        <v>620</v>
      </c>
      <c r="C229" t="s">
        <v>429</v>
      </c>
      <c r="D229" t="s">
        <v>18</v>
      </c>
      <c r="E229" t="s">
        <v>56</v>
      </c>
      <c r="F229" t="s">
        <v>34</v>
      </c>
      <c r="G229" t="s">
        <v>35</v>
      </c>
      <c r="H229" t="s">
        <v>199</v>
      </c>
      <c r="I229">
        <v>5</v>
      </c>
      <c r="J229">
        <v>99.99</v>
      </c>
      <c r="K229">
        <v>0.15</v>
      </c>
      <c r="L229" t="s">
        <v>23</v>
      </c>
      <c r="M229">
        <v>499.95</v>
      </c>
      <c r="N229">
        <v>74.989999999999995</v>
      </c>
      <c r="O229">
        <v>424.96</v>
      </c>
    </row>
    <row r="230" spans="1:15" x14ac:dyDescent="0.3">
      <c r="A230" t="s">
        <v>621</v>
      </c>
      <c r="B230" t="s">
        <v>276</v>
      </c>
      <c r="C230" t="s">
        <v>480</v>
      </c>
      <c r="D230" t="s">
        <v>27</v>
      </c>
      <c r="E230" t="s">
        <v>67</v>
      </c>
      <c r="F230" t="s">
        <v>34</v>
      </c>
      <c r="G230" t="s">
        <v>62</v>
      </c>
      <c r="H230" t="s">
        <v>249</v>
      </c>
      <c r="I230">
        <v>6</v>
      </c>
      <c r="J230">
        <v>49.99</v>
      </c>
      <c r="K230">
        <v>0</v>
      </c>
      <c r="L230" t="s">
        <v>37</v>
      </c>
      <c r="M230">
        <v>299.94</v>
      </c>
      <c r="N230">
        <v>0</v>
      </c>
      <c r="O230">
        <v>299.94</v>
      </c>
    </row>
    <row r="231" spans="1:15" x14ac:dyDescent="0.3">
      <c r="A231" t="s">
        <v>622</v>
      </c>
      <c r="B231" t="s">
        <v>54</v>
      </c>
      <c r="C231" t="s">
        <v>623</v>
      </c>
      <c r="D231" t="s">
        <v>18</v>
      </c>
      <c r="E231" t="s">
        <v>56</v>
      </c>
      <c r="F231" t="s">
        <v>34</v>
      </c>
      <c r="G231" t="s">
        <v>35</v>
      </c>
      <c r="H231" t="s">
        <v>199</v>
      </c>
      <c r="I231">
        <v>2</v>
      </c>
      <c r="J231">
        <v>99.99</v>
      </c>
      <c r="K231">
        <v>0.05</v>
      </c>
      <c r="L231" t="s">
        <v>37</v>
      </c>
      <c r="M231">
        <v>199.98</v>
      </c>
      <c r="N231">
        <v>10</v>
      </c>
      <c r="O231">
        <v>189.98</v>
      </c>
    </row>
    <row r="232" spans="1:15" x14ac:dyDescent="0.3">
      <c r="A232" t="s">
        <v>624</v>
      </c>
      <c r="B232" t="s">
        <v>625</v>
      </c>
      <c r="C232" t="s">
        <v>626</v>
      </c>
      <c r="D232" t="s">
        <v>18</v>
      </c>
      <c r="E232" t="s">
        <v>56</v>
      </c>
      <c r="F232" t="s">
        <v>20</v>
      </c>
      <c r="G232" t="s">
        <v>62</v>
      </c>
      <c r="H232" t="s">
        <v>124</v>
      </c>
      <c r="I232">
        <v>6</v>
      </c>
      <c r="J232">
        <v>399.99</v>
      </c>
      <c r="K232">
        <v>0</v>
      </c>
      <c r="L232" t="s">
        <v>23</v>
      </c>
      <c r="M232">
        <v>2399.94</v>
      </c>
      <c r="N232">
        <v>0</v>
      </c>
      <c r="O232">
        <v>2399.94</v>
      </c>
    </row>
    <row r="233" spans="1:15" x14ac:dyDescent="0.3">
      <c r="A233" t="s">
        <v>627</v>
      </c>
      <c r="B233" t="s">
        <v>60</v>
      </c>
      <c r="C233" t="s">
        <v>206</v>
      </c>
      <c r="D233" t="s">
        <v>72</v>
      </c>
      <c r="E233" t="s">
        <v>152</v>
      </c>
      <c r="F233" t="s">
        <v>34</v>
      </c>
      <c r="G233" t="s">
        <v>57</v>
      </c>
      <c r="H233" t="s">
        <v>58</v>
      </c>
      <c r="I233">
        <v>6</v>
      </c>
      <c r="J233">
        <v>89.99</v>
      </c>
      <c r="K233">
        <v>0</v>
      </c>
      <c r="L233" t="s">
        <v>37</v>
      </c>
      <c r="M233">
        <v>539.94000000000005</v>
      </c>
      <c r="N233">
        <v>0</v>
      </c>
      <c r="O233">
        <v>539.94000000000005</v>
      </c>
    </row>
    <row r="234" spans="1:15" x14ac:dyDescent="0.3">
      <c r="A234" t="s">
        <v>628</v>
      </c>
      <c r="B234" t="s">
        <v>616</v>
      </c>
      <c r="C234" t="s">
        <v>224</v>
      </c>
      <c r="D234" t="s">
        <v>51</v>
      </c>
      <c r="E234" t="s">
        <v>108</v>
      </c>
      <c r="F234" t="s">
        <v>34</v>
      </c>
      <c r="G234" t="s">
        <v>62</v>
      </c>
      <c r="H234" t="s">
        <v>63</v>
      </c>
      <c r="I234">
        <v>4</v>
      </c>
      <c r="J234">
        <v>199.99</v>
      </c>
      <c r="K234">
        <v>0</v>
      </c>
      <c r="L234" t="s">
        <v>23</v>
      </c>
      <c r="M234">
        <v>799.96</v>
      </c>
      <c r="N234">
        <v>0</v>
      </c>
      <c r="O234">
        <v>799.96</v>
      </c>
    </row>
    <row r="235" spans="1:15" x14ac:dyDescent="0.3">
      <c r="A235" t="s">
        <v>629</v>
      </c>
      <c r="B235" t="s">
        <v>82</v>
      </c>
      <c r="C235" t="s">
        <v>630</v>
      </c>
      <c r="D235" t="s">
        <v>32</v>
      </c>
      <c r="E235" t="s">
        <v>45</v>
      </c>
      <c r="F235" t="s">
        <v>20</v>
      </c>
      <c r="G235" t="s">
        <v>62</v>
      </c>
      <c r="H235" t="s">
        <v>79</v>
      </c>
      <c r="I235">
        <v>2</v>
      </c>
      <c r="J235">
        <v>249.99</v>
      </c>
      <c r="K235">
        <v>0.15</v>
      </c>
      <c r="L235" t="s">
        <v>23</v>
      </c>
      <c r="M235">
        <v>499.98</v>
      </c>
      <c r="N235">
        <v>75</v>
      </c>
      <c r="O235">
        <v>424.98</v>
      </c>
    </row>
    <row r="236" spans="1:15" x14ac:dyDescent="0.3">
      <c r="A236" t="s">
        <v>631</v>
      </c>
      <c r="B236" t="s">
        <v>632</v>
      </c>
      <c r="C236" t="s">
        <v>221</v>
      </c>
      <c r="D236" t="s">
        <v>27</v>
      </c>
      <c r="E236" t="s">
        <v>123</v>
      </c>
      <c r="F236" t="s">
        <v>20</v>
      </c>
      <c r="G236" t="s">
        <v>62</v>
      </c>
      <c r="H236" t="s">
        <v>249</v>
      </c>
      <c r="I236">
        <v>1</v>
      </c>
      <c r="J236">
        <v>49.99</v>
      </c>
      <c r="K236">
        <v>0</v>
      </c>
      <c r="L236" t="s">
        <v>47</v>
      </c>
      <c r="M236">
        <v>49.99</v>
      </c>
      <c r="N236">
        <v>0</v>
      </c>
      <c r="O236">
        <v>49.99</v>
      </c>
    </row>
    <row r="237" spans="1:15" x14ac:dyDescent="0.3">
      <c r="A237" t="s">
        <v>633</v>
      </c>
      <c r="B237" t="s">
        <v>634</v>
      </c>
      <c r="C237" t="s">
        <v>142</v>
      </c>
      <c r="D237" t="s">
        <v>32</v>
      </c>
      <c r="E237" t="s">
        <v>33</v>
      </c>
      <c r="F237" t="s">
        <v>34</v>
      </c>
      <c r="G237" t="s">
        <v>35</v>
      </c>
      <c r="H237" t="s">
        <v>134</v>
      </c>
      <c r="I237">
        <v>1</v>
      </c>
      <c r="J237">
        <v>139.99</v>
      </c>
      <c r="K237">
        <v>0.15</v>
      </c>
      <c r="L237" t="s">
        <v>80</v>
      </c>
      <c r="M237">
        <v>139.99</v>
      </c>
      <c r="N237">
        <v>21</v>
      </c>
      <c r="O237">
        <v>118.99</v>
      </c>
    </row>
    <row r="238" spans="1:15" x14ac:dyDescent="0.3">
      <c r="A238" t="s">
        <v>635</v>
      </c>
      <c r="B238" t="s">
        <v>322</v>
      </c>
      <c r="C238" t="s">
        <v>86</v>
      </c>
      <c r="D238" t="s">
        <v>27</v>
      </c>
      <c r="E238" t="s">
        <v>67</v>
      </c>
      <c r="F238" t="s">
        <v>20</v>
      </c>
      <c r="G238" t="s">
        <v>62</v>
      </c>
      <c r="H238" t="s">
        <v>79</v>
      </c>
      <c r="I238">
        <v>2</v>
      </c>
      <c r="J238">
        <v>249.99</v>
      </c>
      <c r="K238">
        <v>0.1</v>
      </c>
      <c r="L238" t="s">
        <v>23</v>
      </c>
      <c r="M238">
        <v>499.98</v>
      </c>
      <c r="N238">
        <v>50</v>
      </c>
      <c r="O238">
        <v>449.98</v>
      </c>
    </row>
    <row r="239" spans="1:15" x14ac:dyDescent="0.3">
      <c r="A239" t="s">
        <v>636</v>
      </c>
      <c r="B239" t="s">
        <v>637</v>
      </c>
      <c r="C239" t="s">
        <v>139</v>
      </c>
      <c r="D239" t="s">
        <v>72</v>
      </c>
      <c r="E239" t="s">
        <v>152</v>
      </c>
      <c r="F239" t="s">
        <v>20</v>
      </c>
      <c r="G239" t="s">
        <v>57</v>
      </c>
      <c r="H239" t="s">
        <v>300</v>
      </c>
      <c r="I239">
        <v>1</v>
      </c>
      <c r="J239">
        <v>179.99</v>
      </c>
      <c r="K239">
        <v>0.15</v>
      </c>
      <c r="L239" t="s">
        <v>80</v>
      </c>
      <c r="M239">
        <v>179.99</v>
      </c>
      <c r="N239">
        <v>27</v>
      </c>
      <c r="O239">
        <v>152.99</v>
      </c>
    </row>
    <row r="240" spans="1:15" x14ac:dyDescent="0.3">
      <c r="A240" t="s">
        <v>638</v>
      </c>
      <c r="B240" t="s">
        <v>320</v>
      </c>
      <c r="C240" t="s">
        <v>375</v>
      </c>
      <c r="D240" t="s">
        <v>27</v>
      </c>
      <c r="E240" t="s">
        <v>123</v>
      </c>
      <c r="F240" t="s">
        <v>34</v>
      </c>
      <c r="G240" t="s">
        <v>74</v>
      </c>
      <c r="H240" t="s">
        <v>75</v>
      </c>
      <c r="I240">
        <v>1</v>
      </c>
      <c r="J240">
        <v>299.99</v>
      </c>
      <c r="K240">
        <v>0</v>
      </c>
      <c r="L240" t="s">
        <v>23</v>
      </c>
      <c r="M240">
        <v>299.99</v>
      </c>
      <c r="N240">
        <v>0</v>
      </c>
      <c r="O240">
        <v>299.99</v>
      </c>
    </row>
    <row r="241" spans="1:15" x14ac:dyDescent="0.3">
      <c r="A241" t="s">
        <v>639</v>
      </c>
      <c r="B241" t="s">
        <v>640</v>
      </c>
      <c r="C241" t="s">
        <v>594</v>
      </c>
      <c r="D241" t="s">
        <v>72</v>
      </c>
      <c r="E241" t="s">
        <v>152</v>
      </c>
      <c r="F241" t="s">
        <v>20</v>
      </c>
      <c r="G241" t="s">
        <v>35</v>
      </c>
      <c r="H241" t="s">
        <v>41</v>
      </c>
      <c r="I241">
        <v>4</v>
      </c>
      <c r="J241">
        <v>104.99</v>
      </c>
      <c r="K241">
        <v>0.05</v>
      </c>
      <c r="L241" t="s">
        <v>47</v>
      </c>
      <c r="M241">
        <v>419.96</v>
      </c>
      <c r="N241">
        <v>21</v>
      </c>
      <c r="O241">
        <v>398.96</v>
      </c>
    </row>
    <row r="242" spans="1:15" x14ac:dyDescent="0.3">
      <c r="A242" t="s">
        <v>641</v>
      </c>
      <c r="B242" t="s">
        <v>642</v>
      </c>
      <c r="C242" t="s">
        <v>643</v>
      </c>
      <c r="D242" t="s">
        <v>51</v>
      </c>
      <c r="E242" t="s">
        <v>52</v>
      </c>
      <c r="F242" t="s">
        <v>20</v>
      </c>
      <c r="G242" t="s">
        <v>57</v>
      </c>
      <c r="H242" t="s">
        <v>300</v>
      </c>
      <c r="I242">
        <v>5</v>
      </c>
      <c r="J242">
        <v>179.99</v>
      </c>
      <c r="K242">
        <v>0</v>
      </c>
      <c r="L242" t="s">
        <v>80</v>
      </c>
      <c r="M242">
        <v>899.95</v>
      </c>
      <c r="N242">
        <v>0</v>
      </c>
      <c r="O242">
        <v>899.95</v>
      </c>
    </row>
    <row r="243" spans="1:15" x14ac:dyDescent="0.3">
      <c r="A243" t="s">
        <v>644</v>
      </c>
      <c r="B243" t="s">
        <v>645</v>
      </c>
      <c r="C243" t="s">
        <v>117</v>
      </c>
      <c r="D243" t="s">
        <v>32</v>
      </c>
      <c r="E243" t="s">
        <v>33</v>
      </c>
      <c r="F243" t="s">
        <v>34</v>
      </c>
      <c r="G243" t="s">
        <v>57</v>
      </c>
      <c r="H243" t="s">
        <v>130</v>
      </c>
      <c r="I243">
        <v>5</v>
      </c>
      <c r="J243">
        <v>109.99</v>
      </c>
      <c r="K243">
        <v>0.05</v>
      </c>
      <c r="L243" t="s">
        <v>37</v>
      </c>
      <c r="M243">
        <v>549.95000000000005</v>
      </c>
      <c r="N243">
        <v>27.5</v>
      </c>
      <c r="O243">
        <v>522.45000000000005</v>
      </c>
    </row>
    <row r="244" spans="1:15" x14ac:dyDescent="0.3">
      <c r="A244" t="s">
        <v>646</v>
      </c>
      <c r="B244" t="s">
        <v>498</v>
      </c>
      <c r="C244" t="s">
        <v>494</v>
      </c>
      <c r="D244" t="s">
        <v>51</v>
      </c>
      <c r="E244" t="s">
        <v>108</v>
      </c>
      <c r="F244" t="s">
        <v>20</v>
      </c>
      <c r="G244" t="s">
        <v>35</v>
      </c>
      <c r="H244" t="s">
        <v>134</v>
      </c>
      <c r="I244">
        <v>1</v>
      </c>
      <c r="J244">
        <v>139.99</v>
      </c>
      <c r="K244">
        <v>0.15</v>
      </c>
      <c r="L244" t="s">
        <v>47</v>
      </c>
      <c r="M244">
        <v>139.99</v>
      </c>
      <c r="N244">
        <v>21</v>
      </c>
      <c r="O244">
        <v>118.99</v>
      </c>
    </row>
    <row r="245" spans="1:15" x14ac:dyDescent="0.3">
      <c r="A245" t="s">
        <v>647</v>
      </c>
      <c r="B245" t="s">
        <v>648</v>
      </c>
      <c r="C245" t="s">
        <v>195</v>
      </c>
      <c r="D245" t="s">
        <v>27</v>
      </c>
      <c r="E245" t="s">
        <v>123</v>
      </c>
      <c r="F245" t="s">
        <v>20</v>
      </c>
      <c r="G245" t="s">
        <v>35</v>
      </c>
      <c r="H245" t="s">
        <v>199</v>
      </c>
      <c r="I245">
        <v>1</v>
      </c>
      <c r="J245">
        <v>99.99</v>
      </c>
      <c r="K245">
        <v>0.05</v>
      </c>
      <c r="L245" t="s">
        <v>47</v>
      </c>
      <c r="M245">
        <v>99.99</v>
      </c>
      <c r="N245">
        <v>5</v>
      </c>
      <c r="O245">
        <v>94.99</v>
      </c>
    </row>
    <row r="246" spans="1:15" x14ac:dyDescent="0.3">
      <c r="A246" t="s">
        <v>649</v>
      </c>
      <c r="B246" t="s">
        <v>650</v>
      </c>
      <c r="C246" t="s">
        <v>480</v>
      </c>
      <c r="D246" t="s">
        <v>72</v>
      </c>
      <c r="E246" t="s">
        <v>73</v>
      </c>
      <c r="F246" t="s">
        <v>34</v>
      </c>
      <c r="G246" t="s">
        <v>21</v>
      </c>
      <c r="H246" t="s">
        <v>46</v>
      </c>
      <c r="I246">
        <v>5</v>
      </c>
      <c r="J246">
        <v>119.99</v>
      </c>
      <c r="K246">
        <v>0</v>
      </c>
      <c r="L246" t="s">
        <v>47</v>
      </c>
      <c r="M246">
        <v>599.95000000000005</v>
      </c>
      <c r="N246">
        <v>0</v>
      </c>
      <c r="O246">
        <v>599.95000000000005</v>
      </c>
    </row>
    <row r="247" spans="1:15" x14ac:dyDescent="0.3">
      <c r="A247" t="s">
        <v>651</v>
      </c>
      <c r="B247" t="s">
        <v>414</v>
      </c>
      <c r="C247" t="s">
        <v>129</v>
      </c>
      <c r="D247" t="s">
        <v>32</v>
      </c>
      <c r="E247" t="s">
        <v>33</v>
      </c>
      <c r="F247" t="s">
        <v>20</v>
      </c>
      <c r="G247" t="s">
        <v>62</v>
      </c>
      <c r="H247" t="s">
        <v>249</v>
      </c>
      <c r="I247">
        <v>2</v>
      </c>
      <c r="J247">
        <v>49.99</v>
      </c>
      <c r="K247">
        <v>0</v>
      </c>
      <c r="L247" t="s">
        <v>23</v>
      </c>
      <c r="M247">
        <v>99.98</v>
      </c>
      <c r="N247">
        <v>0</v>
      </c>
      <c r="O247">
        <v>99.98</v>
      </c>
    </row>
    <row r="248" spans="1:15" x14ac:dyDescent="0.3">
      <c r="A248" t="s">
        <v>652</v>
      </c>
      <c r="B248" t="s">
        <v>653</v>
      </c>
      <c r="C248" t="s">
        <v>654</v>
      </c>
      <c r="D248" t="s">
        <v>27</v>
      </c>
      <c r="E248" t="s">
        <v>123</v>
      </c>
      <c r="F248" t="s">
        <v>34</v>
      </c>
      <c r="G248" t="s">
        <v>57</v>
      </c>
      <c r="H248" t="s">
        <v>189</v>
      </c>
      <c r="I248">
        <v>5</v>
      </c>
      <c r="J248">
        <v>119.99</v>
      </c>
      <c r="K248">
        <v>0.15</v>
      </c>
      <c r="L248" t="s">
        <v>23</v>
      </c>
      <c r="M248">
        <v>599.95000000000005</v>
      </c>
      <c r="N248">
        <v>89.99</v>
      </c>
      <c r="O248">
        <v>509.96</v>
      </c>
    </row>
    <row r="249" spans="1:15" x14ac:dyDescent="0.3">
      <c r="A249" t="s">
        <v>655</v>
      </c>
      <c r="B249" t="s">
        <v>302</v>
      </c>
      <c r="C249" t="s">
        <v>580</v>
      </c>
      <c r="D249" t="s">
        <v>72</v>
      </c>
      <c r="E249" t="s">
        <v>152</v>
      </c>
      <c r="F249" t="s">
        <v>34</v>
      </c>
      <c r="G249" t="s">
        <v>21</v>
      </c>
      <c r="H249" t="s">
        <v>87</v>
      </c>
      <c r="I249">
        <v>6</v>
      </c>
      <c r="J249">
        <v>149.99</v>
      </c>
      <c r="K249">
        <v>0.05</v>
      </c>
      <c r="L249" t="s">
        <v>23</v>
      </c>
      <c r="M249">
        <v>899.94</v>
      </c>
      <c r="N249">
        <v>45</v>
      </c>
      <c r="O249">
        <v>854.94</v>
      </c>
    </row>
    <row r="250" spans="1:15" x14ac:dyDescent="0.3">
      <c r="A250" t="s">
        <v>656</v>
      </c>
      <c r="B250" t="s">
        <v>414</v>
      </c>
      <c r="C250" t="s">
        <v>657</v>
      </c>
      <c r="D250" t="s">
        <v>51</v>
      </c>
      <c r="E250" t="s">
        <v>108</v>
      </c>
      <c r="F250" t="s">
        <v>34</v>
      </c>
      <c r="G250" t="s">
        <v>35</v>
      </c>
      <c r="H250" t="s">
        <v>36</v>
      </c>
      <c r="I250">
        <v>3</v>
      </c>
      <c r="J250">
        <v>79.989999999999995</v>
      </c>
      <c r="K250">
        <v>0.15</v>
      </c>
      <c r="L250" t="s">
        <v>80</v>
      </c>
      <c r="M250">
        <v>239.97</v>
      </c>
      <c r="N250">
        <v>36</v>
      </c>
      <c r="O250">
        <v>203.97</v>
      </c>
    </row>
    <row r="251" spans="1:15" x14ac:dyDescent="0.3">
      <c r="A251" t="s">
        <v>658</v>
      </c>
      <c r="B251" t="s">
        <v>345</v>
      </c>
      <c r="C251" t="s">
        <v>659</v>
      </c>
      <c r="D251" t="s">
        <v>72</v>
      </c>
      <c r="E251" t="s">
        <v>73</v>
      </c>
      <c r="F251" t="s">
        <v>34</v>
      </c>
      <c r="G251" t="s">
        <v>62</v>
      </c>
      <c r="H251" t="s">
        <v>79</v>
      </c>
      <c r="I251">
        <v>4</v>
      </c>
      <c r="J251">
        <v>249.99</v>
      </c>
      <c r="K251">
        <v>0</v>
      </c>
      <c r="L251" t="s">
        <v>80</v>
      </c>
      <c r="M251">
        <v>999.96</v>
      </c>
      <c r="N251">
        <v>0</v>
      </c>
      <c r="O251">
        <v>999.96</v>
      </c>
    </row>
    <row r="252" spans="1:15" x14ac:dyDescent="0.3">
      <c r="A252" t="s">
        <v>660</v>
      </c>
      <c r="B252" t="s">
        <v>605</v>
      </c>
      <c r="C252" t="s">
        <v>412</v>
      </c>
      <c r="D252" t="s">
        <v>27</v>
      </c>
      <c r="E252" t="s">
        <v>123</v>
      </c>
      <c r="F252" t="s">
        <v>34</v>
      </c>
      <c r="G252" t="s">
        <v>74</v>
      </c>
      <c r="H252" t="s">
        <v>75</v>
      </c>
      <c r="I252">
        <v>6</v>
      </c>
      <c r="J252">
        <v>299.99</v>
      </c>
      <c r="K252">
        <v>0</v>
      </c>
      <c r="L252" t="s">
        <v>80</v>
      </c>
      <c r="M252">
        <v>1799.94</v>
      </c>
      <c r="N252">
        <v>0</v>
      </c>
      <c r="O252">
        <v>1799.94</v>
      </c>
    </row>
    <row r="253" spans="1:15" x14ac:dyDescent="0.3">
      <c r="A253" t="s">
        <v>661</v>
      </c>
      <c r="B253" t="s">
        <v>662</v>
      </c>
      <c r="C253" t="s">
        <v>663</v>
      </c>
      <c r="D253" t="s">
        <v>32</v>
      </c>
      <c r="E253" t="s">
        <v>45</v>
      </c>
      <c r="F253" t="s">
        <v>20</v>
      </c>
      <c r="G253" t="s">
        <v>21</v>
      </c>
      <c r="H253" t="s">
        <v>68</v>
      </c>
      <c r="I253">
        <v>4</v>
      </c>
      <c r="J253">
        <v>129.99</v>
      </c>
      <c r="K253">
        <v>0</v>
      </c>
      <c r="L253" t="s">
        <v>47</v>
      </c>
      <c r="M253">
        <v>519.96</v>
      </c>
      <c r="N253">
        <v>0</v>
      </c>
      <c r="O253">
        <v>519.96</v>
      </c>
    </row>
    <row r="254" spans="1:15" x14ac:dyDescent="0.3">
      <c r="A254" t="s">
        <v>664</v>
      </c>
      <c r="B254" t="s">
        <v>665</v>
      </c>
      <c r="C254" t="s">
        <v>659</v>
      </c>
      <c r="D254" t="s">
        <v>72</v>
      </c>
      <c r="E254" t="s">
        <v>73</v>
      </c>
      <c r="F254" t="s">
        <v>34</v>
      </c>
      <c r="G254" t="s">
        <v>35</v>
      </c>
      <c r="H254" t="s">
        <v>199</v>
      </c>
      <c r="I254">
        <v>6</v>
      </c>
      <c r="J254">
        <v>99.99</v>
      </c>
      <c r="K254">
        <v>0.1</v>
      </c>
      <c r="L254" t="s">
        <v>47</v>
      </c>
      <c r="M254">
        <v>599.94000000000005</v>
      </c>
      <c r="N254">
        <v>59.99</v>
      </c>
      <c r="O254">
        <v>539.95000000000005</v>
      </c>
    </row>
    <row r="255" spans="1:15" x14ac:dyDescent="0.3">
      <c r="A255" t="s">
        <v>666</v>
      </c>
      <c r="B255" t="s">
        <v>667</v>
      </c>
      <c r="C255" t="s">
        <v>40</v>
      </c>
      <c r="D255" t="s">
        <v>18</v>
      </c>
      <c r="E255" t="s">
        <v>56</v>
      </c>
      <c r="F255" t="s">
        <v>34</v>
      </c>
      <c r="G255" t="s">
        <v>62</v>
      </c>
      <c r="H255" t="s">
        <v>249</v>
      </c>
      <c r="I255">
        <v>4</v>
      </c>
      <c r="J255">
        <v>49.99</v>
      </c>
      <c r="K255">
        <v>0.1</v>
      </c>
      <c r="L255" t="s">
        <v>37</v>
      </c>
      <c r="M255">
        <v>199.96</v>
      </c>
      <c r="N255">
        <v>20</v>
      </c>
      <c r="O255">
        <v>179.96</v>
      </c>
    </row>
    <row r="256" spans="1:15" x14ac:dyDescent="0.3">
      <c r="A256" t="s">
        <v>668</v>
      </c>
      <c r="B256" t="s">
        <v>214</v>
      </c>
      <c r="C256" t="s">
        <v>206</v>
      </c>
      <c r="D256" t="s">
        <v>72</v>
      </c>
      <c r="E256" t="s">
        <v>73</v>
      </c>
      <c r="F256" t="s">
        <v>20</v>
      </c>
      <c r="G256" t="s">
        <v>57</v>
      </c>
      <c r="H256" t="s">
        <v>130</v>
      </c>
      <c r="I256">
        <v>6</v>
      </c>
      <c r="J256">
        <v>109.99</v>
      </c>
      <c r="K256">
        <v>0.05</v>
      </c>
      <c r="L256" t="s">
        <v>37</v>
      </c>
      <c r="M256">
        <v>659.94</v>
      </c>
      <c r="N256">
        <v>33</v>
      </c>
      <c r="O256">
        <v>626.94000000000005</v>
      </c>
    </row>
    <row r="257" spans="1:15" x14ac:dyDescent="0.3">
      <c r="A257" t="s">
        <v>669</v>
      </c>
      <c r="B257" t="s">
        <v>670</v>
      </c>
      <c r="C257" t="s">
        <v>92</v>
      </c>
      <c r="D257" t="s">
        <v>27</v>
      </c>
      <c r="E257" t="s">
        <v>123</v>
      </c>
      <c r="F257" t="s">
        <v>34</v>
      </c>
      <c r="G257" t="s">
        <v>57</v>
      </c>
      <c r="H257" t="s">
        <v>130</v>
      </c>
      <c r="I257">
        <v>2</v>
      </c>
      <c r="J257">
        <v>109.99</v>
      </c>
      <c r="K257">
        <v>0.15</v>
      </c>
      <c r="L257" t="s">
        <v>23</v>
      </c>
      <c r="M257">
        <v>219.98</v>
      </c>
      <c r="N257">
        <v>33</v>
      </c>
      <c r="O257">
        <v>186.98</v>
      </c>
    </row>
    <row r="258" spans="1:15" x14ac:dyDescent="0.3">
      <c r="A258" t="s">
        <v>671</v>
      </c>
      <c r="B258" t="s">
        <v>293</v>
      </c>
      <c r="C258" t="s">
        <v>643</v>
      </c>
      <c r="D258" t="s">
        <v>51</v>
      </c>
      <c r="E258" t="s">
        <v>52</v>
      </c>
      <c r="F258" t="s">
        <v>20</v>
      </c>
      <c r="G258" t="s">
        <v>57</v>
      </c>
      <c r="H258" t="s">
        <v>58</v>
      </c>
      <c r="I258">
        <v>2</v>
      </c>
      <c r="J258">
        <v>89.99</v>
      </c>
      <c r="K258">
        <v>0.05</v>
      </c>
      <c r="L258" t="s">
        <v>23</v>
      </c>
      <c r="M258">
        <v>179.98</v>
      </c>
      <c r="N258">
        <v>9</v>
      </c>
      <c r="O258">
        <v>170.98</v>
      </c>
    </row>
    <row r="259" spans="1:15" x14ac:dyDescent="0.3">
      <c r="A259" t="s">
        <v>672</v>
      </c>
      <c r="B259" t="s">
        <v>673</v>
      </c>
      <c r="C259" t="s">
        <v>346</v>
      </c>
      <c r="D259" t="s">
        <v>18</v>
      </c>
      <c r="E259" t="s">
        <v>56</v>
      </c>
      <c r="F259" t="s">
        <v>20</v>
      </c>
      <c r="G259" t="s">
        <v>62</v>
      </c>
      <c r="H259" t="s">
        <v>249</v>
      </c>
      <c r="I259">
        <v>6</v>
      </c>
      <c r="J259">
        <v>49.99</v>
      </c>
      <c r="K259">
        <v>0.15</v>
      </c>
      <c r="L259" t="s">
        <v>37</v>
      </c>
      <c r="M259">
        <v>299.94</v>
      </c>
      <c r="N259">
        <v>44.99</v>
      </c>
      <c r="O259">
        <v>254.95</v>
      </c>
    </row>
    <row r="260" spans="1:15" x14ac:dyDescent="0.3">
      <c r="A260" t="s">
        <v>674</v>
      </c>
      <c r="B260" t="s">
        <v>176</v>
      </c>
      <c r="C260" t="s">
        <v>248</v>
      </c>
      <c r="D260" t="s">
        <v>32</v>
      </c>
      <c r="E260" t="s">
        <v>33</v>
      </c>
      <c r="F260" t="s">
        <v>20</v>
      </c>
      <c r="G260" t="s">
        <v>35</v>
      </c>
      <c r="H260" t="s">
        <v>41</v>
      </c>
      <c r="I260">
        <v>2</v>
      </c>
      <c r="J260">
        <v>104.99</v>
      </c>
      <c r="K260">
        <v>0.1</v>
      </c>
      <c r="L260" t="s">
        <v>80</v>
      </c>
      <c r="M260">
        <v>209.98</v>
      </c>
      <c r="N260">
        <v>21</v>
      </c>
      <c r="O260">
        <v>188.98</v>
      </c>
    </row>
    <row r="261" spans="1:15" x14ac:dyDescent="0.3">
      <c r="A261" t="s">
        <v>675</v>
      </c>
      <c r="B261" t="s">
        <v>288</v>
      </c>
      <c r="C261" t="s">
        <v>337</v>
      </c>
      <c r="D261" t="s">
        <v>27</v>
      </c>
      <c r="E261" t="s">
        <v>67</v>
      </c>
      <c r="F261" t="s">
        <v>20</v>
      </c>
      <c r="G261" t="s">
        <v>21</v>
      </c>
      <c r="H261" t="s">
        <v>22</v>
      </c>
      <c r="I261">
        <v>2</v>
      </c>
      <c r="J261">
        <v>89.99</v>
      </c>
      <c r="K261">
        <v>0.15</v>
      </c>
      <c r="L261" t="s">
        <v>80</v>
      </c>
      <c r="M261">
        <v>179.98</v>
      </c>
      <c r="N261">
        <v>27</v>
      </c>
      <c r="O261">
        <v>152.97999999999999</v>
      </c>
    </row>
    <row r="262" spans="1:15" x14ac:dyDescent="0.3">
      <c r="A262" t="s">
        <v>676</v>
      </c>
      <c r="B262" t="s">
        <v>539</v>
      </c>
      <c r="C262" t="s">
        <v>562</v>
      </c>
      <c r="D262" t="s">
        <v>18</v>
      </c>
      <c r="E262" t="s">
        <v>19</v>
      </c>
      <c r="F262" t="s">
        <v>34</v>
      </c>
      <c r="G262" t="s">
        <v>35</v>
      </c>
      <c r="H262" t="s">
        <v>36</v>
      </c>
      <c r="I262">
        <v>5</v>
      </c>
      <c r="J262">
        <v>79.989999999999995</v>
      </c>
      <c r="K262">
        <v>0.15</v>
      </c>
      <c r="L262" t="s">
        <v>23</v>
      </c>
      <c r="M262">
        <v>399.95</v>
      </c>
      <c r="N262">
        <v>59.99</v>
      </c>
      <c r="O262">
        <v>339.96</v>
      </c>
    </row>
    <row r="263" spans="1:15" x14ac:dyDescent="0.3">
      <c r="A263" t="s">
        <v>677</v>
      </c>
      <c r="B263" t="s">
        <v>261</v>
      </c>
      <c r="C263" t="s">
        <v>265</v>
      </c>
      <c r="D263" t="s">
        <v>32</v>
      </c>
      <c r="E263" t="s">
        <v>33</v>
      </c>
      <c r="F263" t="s">
        <v>34</v>
      </c>
      <c r="G263" t="s">
        <v>21</v>
      </c>
      <c r="H263" t="s">
        <v>22</v>
      </c>
      <c r="I263">
        <v>1</v>
      </c>
      <c r="J263">
        <v>89.99</v>
      </c>
      <c r="K263">
        <v>0</v>
      </c>
      <c r="L263" t="s">
        <v>37</v>
      </c>
      <c r="M263">
        <v>89.99</v>
      </c>
      <c r="N263">
        <v>0</v>
      </c>
      <c r="O263">
        <v>89.99</v>
      </c>
    </row>
    <row r="264" spans="1:15" x14ac:dyDescent="0.3">
      <c r="A264" t="s">
        <v>678</v>
      </c>
      <c r="B264" t="s">
        <v>679</v>
      </c>
      <c r="C264" t="s">
        <v>258</v>
      </c>
      <c r="D264" t="s">
        <v>51</v>
      </c>
      <c r="E264" t="s">
        <v>108</v>
      </c>
      <c r="F264" t="s">
        <v>20</v>
      </c>
      <c r="G264" t="s">
        <v>21</v>
      </c>
      <c r="H264" t="s">
        <v>46</v>
      </c>
      <c r="I264">
        <v>1</v>
      </c>
      <c r="J264">
        <v>119.99</v>
      </c>
      <c r="K264">
        <v>0.1</v>
      </c>
      <c r="L264" t="s">
        <v>37</v>
      </c>
      <c r="M264">
        <v>119.99</v>
      </c>
      <c r="N264">
        <v>12</v>
      </c>
      <c r="O264">
        <v>107.99</v>
      </c>
    </row>
    <row r="265" spans="1:15" x14ac:dyDescent="0.3">
      <c r="A265" t="s">
        <v>680</v>
      </c>
      <c r="B265" t="s">
        <v>437</v>
      </c>
      <c r="C265" t="s">
        <v>415</v>
      </c>
      <c r="D265" t="s">
        <v>72</v>
      </c>
      <c r="E265" t="s">
        <v>73</v>
      </c>
      <c r="F265" t="s">
        <v>20</v>
      </c>
      <c r="G265" t="s">
        <v>57</v>
      </c>
      <c r="H265" t="s">
        <v>189</v>
      </c>
      <c r="I265">
        <v>3</v>
      </c>
      <c r="J265">
        <v>119.99</v>
      </c>
      <c r="K265">
        <v>0.05</v>
      </c>
      <c r="L265" t="s">
        <v>47</v>
      </c>
      <c r="M265">
        <v>359.97</v>
      </c>
      <c r="N265">
        <v>18</v>
      </c>
      <c r="O265">
        <v>341.97</v>
      </c>
    </row>
    <row r="266" spans="1:15" x14ac:dyDescent="0.3">
      <c r="A266" t="s">
        <v>681</v>
      </c>
      <c r="B266" t="s">
        <v>640</v>
      </c>
      <c r="C266" t="s">
        <v>188</v>
      </c>
      <c r="D266" t="s">
        <v>27</v>
      </c>
      <c r="E266" t="s">
        <v>28</v>
      </c>
      <c r="F266" t="s">
        <v>34</v>
      </c>
      <c r="G266" t="s">
        <v>57</v>
      </c>
      <c r="H266" t="s">
        <v>300</v>
      </c>
      <c r="I266">
        <v>4</v>
      </c>
      <c r="J266">
        <v>179.99</v>
      </c>
      <c r="K266">
        <v>0.05</v>
      </c>
      <c r="L266" t="s">
        <v>80</v>
      </c>
      <c r="M266">
        <v>719.96</v>
      </c>
      <c r="N266">
        <v>36</v>
      </c>
      <c r="O266">
        <v>683.96</v>
      </c>
    </row>
    <row r="267" spans="1:15" x14ac:dyDescent="0.3">
      <c r="A267" t="s">
        <v>682</v>
      </c>
      <c r="B267" t="s">
        <v>184</v>
      </c>
      <c r="C267" t="s">
        <v>415</v>
      </c>
      <c r="D267" t="s">
        <v>27</v>
      </c>
      <c r="E267" t="s">
        <v>67</v>
      </c>
      <c r="F267" t="s">
        <v>20</v>
      </c>
      <c r="G267" t="s">
        <v>21</v>
      </c>
      <c r="H267" t="s">
        <v>68</v>
      </c>
      <c r="I267">
        <v>4</v>
      </c>
      <c r="J267">
        <v>129.99</v>
      </c>
      <c r="K267">
        <v>0.15</v>
      </c>
      <c r="L267" t="s">
        <v>80</v>
      </c>
      <c r="M267">
        <v>519.96</v>
      </c>
      <c r="N267">
        <v>77.989999999999995</v>
      </c>
      <c r="O267">
        <v>441.97</v>
      </c>
    </row>
    <row r="268" spans="1:15" x14ac:dyDescent="0.3">
      <c r="A268" t="s">
        <v>683</v>
      </c>
      <c r="B268" t="s">
        <v>684</v>
      </c>
      <c r="C268" t="s">
        <v>685</v>
      </c>
      <c r="D268" t="s">
        <v>32</v>
      </c>
      <c r="E268" t="s">
        <v>33</v>
      </c>
      <c r="F268" t="s">
        <v>34</v>
      </c>
      <c r="G268" t="s">
        <v>35</v>
      </c>
      <c r="H268" t="s">
        <v>41</v>
      </c>
      <c r="I268">
        <v>3</v>
      </c>
      <c r="J268">
        <v>104.99</v>
      </c>
      <c r="K268">
        <v>0</v>
      </c>
      <c r="L268" t="s">
        <v>80</v>
      </c>
      <c r="M268">
        <v>314.97000000000003</v>
      </c>
      <c r="N268">
        <v>0</v>
      </c>
      <c r="O268">
        <v>314.97000000000003</v>
      </c>
    </row>
    <row r="269" spans="1:15" x14ac:dyDescent="0.3">
      <c r="A269" t="s">
        <v>686</v>
      </c>
      <c r="B269" t="s">
        <v>687</v>
      </c>
      <c r="C269" t="s">
        <v>367</v>
      </c>
      <c r="D269" t="s">
        <v>27</v>
      </c>
      <c r="E269" t="s">
        <v>28</v>
      </c>
      <c r="F269" t="s">
        <v>34</v>
      </c>
      <c r="G269" t="s">
        <v>35</v>
      </c>
      <c r="H269" t="s">
        <v>134</v>
      </c>
      <c r="I269">
        <v>5</v>
      </c>
      <c r="J269">
        <v>139.99</v>
      </c>
      <c r="K269">
        <v>0</v>
      </c>
      <c r="L269" t="s">
        <v>80</v>
      </c>
      <c r="M269">
        <v>699.95</v>
      </c>
      <c r="N269">
        <v>0</v>
      </c>
      <c r="O269">
        <v>699.95</v>
      </c>
    </row>
    <row r="270" spans="1:15" x14ac:dyDescent="0.3">
      <c r="A270" t="s">
        <v>688</v>
      </c>
      <c r="B270" t="s">
        <v>689</v>
      </c>
      <c r="C270" t="s">
        <v>690</v>
      </c>
      <c r="D270" t="s">
        <v>32</v>
      </c>
      <c r="E270" t="s">
        <v>45</v>
      </c>
      <c r="F270" t="s">
        <v>34</v>
      </c>
      <c r="G270" t="s">
        <v>57</v>
      </c>
      <c r="H270" t="s">
        <v>58</v>
      </c>
      <c r="I270">
        <v>5</v>
      </c>
      <c r="J270">
        <v>89.99</v>
      </c>
      <c r="K270">
        <v>0.05</v>
      </c>
      <c r="L270" t="s">
        <v>23</v>
      </c>
      <c r="M270">
        <v>449.95</v>
      </c>
      <c r="N270">
        <v>22.5</v>
      </c>
      <c r="O270">
        <v>427.45</v>
      </c>
    </row>
    <row r="271" spans="1:15" x14ac:dyDescent="0.3">
      <c r="A271" t="s">
        <v>691</v>
      </c>
      <c r="B271" t="s">
        <v>515</v>
      </c>
      <c r="C271" t="s">
        <v>692</v>
      </c>
      <c r="D271" t="s">
        <v>32</v>
      </c>
      <c r="E271" t="s">
        <v>33</v>
      </c>
      <c r="F271" t="s">
        <v>20</v>
      </c>
      <c r="G271" t="s">
        <v>35</v>
      </c>
      <c r="H271" t="s">
        <v>199</v>
      </c>
      <c r="I271">
        <v>1</v>
      </c>
      <c r="J271">
        <v>99.99</v>
      </c>
      <c r="K271">
        <v>0</v>
      </c>
      <c r="L271" t="s">
        <v>37</v>
      </c>
      <c r="M271">
        <v>99.99</v>
      </c>
      <c r="N271">
        <v>0</v>
      </c>
      <c r="O271">
        <v>99.99</v>
      </c>
    </row>
    <row r="272" spans="1:15" x14ac:dyDescent="0.3">
      <c r="A272" t="s">
        <v>693</v>
      </c>
      <c r="B272" t="s">
        <v>528</v>
      </c>
      <c r="C272" t="s">
        <v>394</v>
      </c>
      <c r="D272" t="s">
        <v>18</v>
      </c>
      <c r="E272" t="s">
        <v>19</v>
      </c>
      <c r="F272" t="s">
        <v>20</v>
      </c>
      <c r="G272" t="s">
        <v>62</v>
      </c>
      <c r="H272" t="s">
        <v>79</v>
      </c>
      <c r="I272">
        <v>6</v>
      </c>
      <c r="J272">
        <v>249.99</v>
      </c>
      <c r="K272">
        <v>0</v>
      </c>
      <c r="L272" t="s">
        <v>37</v>
      </c>
      <c r="M272">
        <v>1499.94</v>
      </c>
      <c r="N272">
        <v>0</v>
      </c>
      <c r="O272">
        <v>1499.94</v>
      </c>
    </row>
    <row r="273" spans="1:15" x14ac:dyDescent="0.3">
      <c r="A273" t="s">
        <v>694</v>
      </c>
      <c r="B273" t="s">
        <v>695</v>
      </c>
      <c r="C273" t="s">
        <v>50</v>
      </c>
      <c r="D273" t="s">
        <v>72</v>
      </c>
      <c r="E273" t="s">
        <v>73</v>
      </c>
      <c r="F273" t="s">
        <v>20</v>
      </c>
      <c r="G273" t="s">
        <v>62</v>
      </c>
      <c r="H273" t="s">
        <v>79</v>
      </c>
      <c r="I273">
        <v>6</v>
      </c>
      <c r="J273">
        <v>249.99</v>
      </c>
      <c r="K273">
        <v>0.1</v>
      </c>
      <c r="L273" t="s">
        <v>37</v>
      </c>
      <c r="M273">
        <v>1499.94</v>
      </c>
      <c r="N273">
        <v>149.99</v>
      </c>
      <c r="O273">
        <v>1349.95</v>
      </c>
    </row>
    <row r="274" spans="1:15" x14ac:dyDescent="0.3">
      <c r="A274" t="s">
        <v>696</v>
      </c>
      <c r="B274" t="s">
        <v>687</v>
      </c>
      <c r="C274" t="s">
        <v>697</v>
      </c>
      <c r="D274" t="s">
        <v>27</v>
      </c>
      <c r="E274" t="s">
        <v>67</v>
      </c>
      <c r="F274" t="s">
        <v>20</v>
      </c>
      <c r="G274" t="s">
        <v>35</v>
      </c>
      <c r="H274" t="s">
        <v>199</v>
      </c>
      <c r="I274">
        <v>2</v>
      </c>
      <c r="J274">
        <v>99.99</v>
      </c>
      <c r="K274">
        <v>0.05</v>
      </c>
      <c r="L274" t="s">
        <v>23</v>
      </c>
      <c r="M274">
        <v>199.98</v>
      </c>
      <c r="N274">
        <v>10</v>
      </c>
      <c r="O274">
        <v>189.98</v>
      </c>
    </row>
    <row r="275" spans="1:15" x14ac:dyDescent="0.3">
      <c r="A275" t="s">
        <v>698</v>
      </c>
      <c r="B275" t="s">
        <v>522</v>
      </c>
      <c r="C275" t="s">
        <v>699</v>
      </c>
      <c r="D275" t="s">
        <v>27</v>
      </c>
      <c r="E275" t="s">
        <v>28</v>
      </c>
      <c r="F275" t="s">
        <v>34</v>
      </c>
      <c r="G275" t="s">
        <v>57</v>
      </c>
      <c r="H275" t="s">
        <v>189</v>
      </c>
      <c r="I275">
        <v>1</v>
      </c>
      <c r="J275">
        <v>119.99</v>
      </c>
      <c r="K275">
        <v>0</v>
      </c>
      <c r="L275" t="s">
        <v>80</v>
      </c>
      <c r="M275">
        <v>119.99</v>
      </c>
      <c r="N275">
        <v>0</v>
      </c>
      <c r="O275">
        <v>119.99</v>
      </c>
    </row>
    <row r="276" spans="1:15" x14ac:dyDescent="0.3">
      <c r="A276" t="s">
        <v>700</v>
      </c>
      <c r="B276" t="s">
        <v>128</v>
      </c>
      <c r="C276" t="s">
        <v>107</v>
      </c>
      <c r="D276" t="s">
        <v>51</v>
      </c>
      <c r="E276" t="s">
        <v>52</v>
      </c>
      <c r="F276" t="s">
        <v>34</v>
      </c>
      <c r="G276" t="s">
        <v>35</v>
      </c>
      <c r="H276" t="s">
        <v>199</v>
      </c>
      <c r="I276">
        <v>4</v>
      </c>
      <c r="J276">
        <v>99.99</v>
      </c>
      <c r="K276">
        <v>0.1</v>
      </c>
      <c r="L276" t="s">
        <v>80</v>
      </c>
      <c r="M276">
        <v>399.96</v>
      </c>
      <c r="N276">
        <v>40</v>
      </c>
      <c r="O276">
        <v>359.96</v>
      </c>
    </row>
    <row r="277" spans="1:15" x14ac:dyDescent="0.3">
      <c r="A277" t="s">
        <v>701</v>
      </c>
      <c r="B277" t="s">
        <v>702</v>
      </c>
      <c r="C277" t="s">
        <v>703</v>
      </c>
      <c r="D277" t="s">
        <v>18</v>
      </c>
      <c r="E277" t="s">
        <v>19</v>
      </c>
      <c r="F277" t="s">
        <v>34</v>
      </c>
      <c r="G277" t="s">
        <v>21</v>
      </c>
      <c r="H277" t="s">
        <v>22</v>
      </c>
      <c r="I277">
        <v>5</v>
      </c>
      <c r="J277">
        <v>89.99</v>
      </c>
      <c r="K277">
        <v>0.1</v>
      </c>
      <c r="L277" t="s">
        <v>80</v>
      </c>
      <c r="M277">
        <v>449.95</v>
      </c>
      <c r="N277">
        <v>45</v>
      </c>
      <c r="O277">
        <v>404.95</v>
      </c>
    </row>
    <row r="278" spans="1:15" x14ac:dyDescent="0.3">
      <c r="A278" t="s">
        <v>704</v>
      </c>
      <c r="B278" t="s">
        <v>705</v>
      </c>
      <c r="C278" t="s">
        <v>328</v>
      </c>
      <c r="D278" t="s">
        <v>72</v>
      </c>
      <c r="E278" t="s">
        <v>73</v>
      </c>
      <c r="F278" t="s">
        <v>20</v>
      </c>
      <c r="G278" t="s">
        <v>57</v>
      </c>
      <c r="H278" t="s">
        <v>130</v>
      </c>
      <c r="I278">
        <v>6</v>
      </c>
      <c r="J278">
        <v>109.99</v>
      </c>
      <c r="K278">
        <v>0.1</v>
      </c>
      <c r="L278" t="s">
        <v>23</v>
      </c>
      <c r="M278">
        <v>659.94</v>
      </c>
      <c r="N278">
        <v>65.989999999999995</v>
      </c>
      <c r="O278">
        <v>593.95000000000005</v>
      </c>
    </row>
    <row r="279" spans="1:15" x14ac:dyDescent="0.3">
      <c r="A279" t="s">
        <v>706</v>
      </c>
      <c r="B279" t="s">
        <v>670</v>
      </c>
      <c r="C279" t="s">
        <v>707</v>
      </c>
      <c r="D279" t="s">
        <v>18</v>
      </c>
      <c r="E279" t="s">
        <v>56</v>
      </c>
      <c r="F279" t="s">
        <v>20</v>
      </c>
      <c r="G279" t="s">
        <v>35</v>
      </c>
      <c r="H279" t="s">
        <v>41</v>
      </c>
      <c r="I279">
        <v>3</v>
      </c>
      <c r="J279">
        <v>104.99</v>
      </c>
      <c r="K279">
        <v>0.05</v>
      </c>
      <c r="L279" t="s">
        <v>23</v>
      </c>
      <c r="M279">
        <v>314.97000000000003</v>
      </c>
      <c r="N279">
        <v>15.75</v>
      </c>
      <c r="O279">
        <v>299.22000000000003</v>
      </c>
    </row>
    <row r="280" spans="1:15" x14ac:dyDescent="0.3">
      <c r="A280" t="s">
        <v>708</v>
      </c>
      <c r="B280" t="s">
        <v>709</v>
      </c>
      <c r="C280" t="s">
        <v>710</v>
      </c>
      <c r="D280" t="s">
        <v>18</v>
      </c>
      <c r="E280" t="s">
        <v>56</v>
      </c>
      <c r="F280" t="s">
        <v>20</v>
      </c>
      <c r="G280" t="s">
        <v>57</v>
      </c>
      <c r="H280" t="s">
        <v>130</v>
      </c>
      <c r="I280">
        <v>1</v>
      </c>
      <c r="J280">
        <v>109.99</v>
      </c>
      <c r="K280">
        <v>0</v>
      </c>
      <c r="L280" t="s">
        <v>23</v>
      </c>
      <c r="M280">
        <v>109.99</v>
      </c>
      <c r="N280">
        <v>0</v>
      </c>
      <c r="O280">
        <v>109.99</v>
      </c>
    </row>
    <row r="281" spans="1:15" x14ac:dyDescent="0.3">
      <c r="A281" t="s">
        <v>711</v>
      </c>
      <c r="B281" t="s">
        <v>712</v>
      </c>
      <c r="C281" t="s">
        <v>372</v>
      </c>
      <c r="D281" t="s">
        <v>72</v>
      </c>
      <c r="E281" t="s">
        <v>73</v>
      </c>
      <c r="F281" t="s">
        <v>34</v>
      </c>
      <c r="G281" t="s">
        <v>62</v>
      </c>
      <c r="H281" t="s">
        <v>63</v>
      </c>
      <c r="I281">
        <v>2</v>
      </c>
      <c r="J281">
        <v>199.99</v>
      </c>
      <c r="K281">
        <v>0</v>
      </c>
      <c r="L281" t="s">
        <v>37</v>
      </c>
      <c r="M281">
        <v>399.98</v>
      </c>
      <c r="N281">
        <v>0</v>
      </c>
      <c r="O281">
        <v>399.98</v>
      </c>
    </row>
    <row r="282" spans="1:15" x14ac:dyDescent="0.3">
      <c r="A282" t="s">
        <v>713</v>
      </c>
      <c r="B282" t="s">
        <v>455</v>
      </c>
      <c r="C282" t="s">
        <v>714</v>
      </c>
      <c r="D282" t="s">
        <v>18</v>
      </c>
      <c r="E282" t="s">
        <v>56</v>
      </c>
      <c r="F282" t="s">
        <v>20</v>
      </c>
      <c r="G282" t="s">
        <v>62</v>
      </c>
      <c r="H282" t="s">
        <v>79</v>
      </c>
      <c r="I282">
        <v>3</v>
      </c>
      <c r="J282">
        <v>249.99</v>
      </c>
      <c r="K282">
        <v>0.05</v>
      </c>
      <c r="L282" t="s">
        <v>37</v>
      </c>
      <c r="M282">
        <v>749.97</v>
      </c>
      <c r="N282">
        <v>37.5</v>
      </c>
      <c r="O282">
        <v>712.47</v>
      </c>
    </row>
    <row r="283" spans="1:15" x14ac:dyDescent="0.3">
      <c r="A283" t="s">
        <v>715</v>
      </c>
      <c r="B283" t="s">
        <v>214</v>
      </c>
      <c r="C283" t="s">
        <v>716</v>
      </c>
      <c r="D283" t="s">
        <v>72</v>
      </c>
      <c r="E283" t="s">
        <v>152</v>
      </c>
      <c r="F283" t="s">
        <v>34</v>
      </c>
      <c r="G283" t="s">
        <v>57</v>
      </c>
      <c r="H283" t="s">
        <v>58</v>
      </c>
      <c r="I283">
        <v>2</v>
      </c>
      <c r="J283">
        <v>89.99</v>
      </c>
      <c r="K283">
        <v>0.05</v>
      </c>
      <c r="L283" t="s">
        <v>47</v>
      </c>
      <c r="M283">
        <v>179.98</v>
      </c>
      <c r="N283">
        <v>9</v>
      </c>
      <c r="O283">
        <v>170.98</v>
      </c>
    </row>
    <row r="284" spans="1:15" x14ac:dyDescent="0.3">
      <c r="A284" t="s">
        <v>717</v>
      </c>
      <c r="B284" t="s">
        <v>229</v>
      </c>
      <c r="C284" t="s">
        <v>236</v>
      </c>
      <c r="D284" t="s">
        <v>18</v>
      </c>
      <c r="E284" t="s">
        <v>56</v>
      </c>
      <c r="F284" t="s">
        <v>20</v>
      </c>
      <c r="G284" t="s">
        <v>57</v>
      </c>
      <c r="H284" t="s">
        <v>130</v>
      </c>
      <c r="I284">
        <v>3</v>
      </c>
      <c r="J284">
        <v>109.99</v>
      </c>
      <c r="K284">
        <v>0</v>
      </c>
      <c r="L284" t="s">
        <v>80</v>
      </c>
      <c r="M284">
        <v>329.97</v>
      </c>
      <c r="N284">
        <v>0</v>
      </c>
      <c r="O284">
        <v>329.97</v>
      </c>
    </row>
    <row r="285" spans="1:15" x14ac:dyDescent="0.3">
      <c r="A285" t="s">
        <v>718</v>
      </c>
      <c r="B285" t="s">
        <v>148</v>
      </c>
      <c r="C285" t="s">
        <v>485</v>
      </c>
      <c r="D285" t="s">
        <v>51</v>
      </c>
      <c r="E285" t="s">
        <v>52</v>
      </c>
      <c r="F285" t="s">
        <v>34</v>
      </c>
      <c r="G285" t="s">
        <v>74</v>
      </c>
      <c r="H285" t="s">
        <v>143</v>
      </c>
      <c r="I285">
        <v>3</v>
      </c>
      <c r="J285">
        <v>99.99</v>
      </c>
      <c r="K285">
        <v>0.15</v>
      </c>
      <c r="L285" t="s">
        <v>23</v>
      </c>
      <c r="M285">
        <v>299.97000000000003</v>
      </c>
      <c r="N285">
        <v>45</v>
      </c>
      <c r="O285">
        <v>254.97</v>
      </c>
    </row>
    <row r="286" spans="1:15" x14ac:dyDescent="0.3">
      <c r="A286" t="s">
        <v>719</v>
      </c>
      <c r="B286" t="s">
        <v>720</v>
      </c>
      <c r="C286" t="s">
        <v>491</v>
      </c>
      <c r="D286" t="s">
        <v>51</v>
      </c>
      <c r="E286" t="s">
        <v>52</v>
      </c>
      <c r="F286" t="s">
        <v>34</v>
      </c>
      <c r="G286" t="s">
        <v>35</v>
      </c>
      <c r="H286" t="s">
        <v>134</v>
      </c>
      <c r="I286">
        <v>6</v>
      </c>
      <c r="J286">
        <v>139.99</v>
      </c>
      <c r="K286">
        <v>0</v>
      </c>
      <c r="L286" t="s">
        <v>80</v>
      </c>
      <c r="M286">
        <v>839.94</v>
      </c>
      <c r="N286">
        <v>0</v>
      </c>
      <c r="O286">
        <v>839.94</v>
      </c>
    </row>
    <row r="287" spans="1:15" x14ac:dyDescent="0.3">
      <c r="A287" t="s">
        <v>721</v>
      </c>
      <c r="B287" t="s">
        <v>722</v>
      </c>
      <c r="C287" t="s">
        <v>418</v>
      </c>
      <c r="D287" t="s">
        <v>72</v>
      </c>
      <c r="E287" t="s">
        <v>152</v>
      </c>
      <c r="F287" t="s">
        <v>20</v>
      </c>
      <c r="G287" t="s">
        <v>74</v>
      </c>
      <c r="H287" t="s">
        <v>143</v>
      </c>
      <c r="I287">
        <v>5</v>
      </c>
      <c r="J287">
        <v>99.99</v>
      </c>
      <c r="K287">
        <v>0.1</v>
      </c>
      <c r="L287" t="s">
        <v>37</v>
      </c>
      <c r="M287">
        <v>499.95</v>
      </c>
      <c r="N287">
        <v>50</v>
      </c>
      <c r="O287">
        <v>449.95</v>
      </c>
    </row>
    <row r="288" spans="1:15" x14ac:dyDescent="0.3">
      <c r="A288" t="s">
        <v>723</v>
      </c>
      <c r="B288" t="s">
        <v>114</v>
      </c>
      <c r="C288" t="s">
        <v>546</v>
      </c>
      <c r="D288" t="s">
        <v>27</v>
      </c>
      <c r="E288" t="s">
        <v>28</v>
      </c>
      <c r="F288" t="s">
        <v>20</v>
      </c>
      <c r="G288" t="s">
        <v>62</v>
      </c>
      <c r="H288" t="s">
        <v>124</v>
      </c>
      <c r="I288">
        <v>6</v>
      </c>
      <c r="J288">
        <v>399.99</v>
      </c>
      <c r="K288">
        <v>0.15</v>
      </c>
      <c r="L288" t="s">
        <v>23</v>
      </c>
      <c r="M288">
        <v>2399.94</v>
      </c>
      <c r="N288">
        <v>359.99</v>
      </c>
      <c r="O288">
        <v>2039.95</v>
      </c>
    </row>
    <row r="289" spans="1:15" x14ac:dyDescent="0.3">
      <c r="A289" t="s">
        <v>724</v>
      </c>
      <c r="B289" t="s">
        <v>484</v>
      </c>
      <c r="C289" t="s">
        <v>177</v>
      </c>
      <c r="D289" t="s">
        <v>27</v>
      </c>
      <c r="E289" t="s">
        <v>28</v>
      </c>
      <c r="F289" t="s">
        <v>20</v>
      </c>
      <c r="G289" t="s">
        <v>57</v>
      </c>
      <c r="H289" t="s">
        <v>130</v>
      </c>
      <c r="I289">
        <v>1</v>
      </c>
      <c r="J289">
        <v>109.99</v>
      </c>
      <c r="K289">
        <v>0</v>
      </c>
      <c r="L289" t="s">
        <v>23</v>
      </c>
      <c r="M289">
        <v>109.99</v>
      </c>
      <c r="N289">
        <v>0</v>
      </c>
      <c r="O289">
        <v>109.99</v>
      </c>
    </row>
    <row r="290" spans="1:15" x14ac:dyDescent="0.3">
      <c r="A290" t="s">
        <v>725</v>
      </c>
      <c r="B290" t="s">
        <v>251</v>
      </c>
      <c r="C290" t="s">
        <v>507</v>
      </c>
      <c r="D290" t="s">
        <v>72</v>
      </c>
      <c r="E290" t="s">
        <v>73</v>
      </c>
      <c r="F290" t="s">
        <v>34</v>
      </c>
      <c r="G290" t="s">
        <v>57</v>
      </c>
      <c r="H290" t="s">
        <v>130</v>
      </c>
      <c r="I290">
        <v>3</v>
      </c>
      <c r="J290">
        <v>109.99</v>
      </c>
      <c r="K290">
        <v>0</v>
      </c>
      <c r="L290" t="s">
        <v>23</v>
      </c>
      <c r="M290">
        <v>329.97</v>
      </c>
      <c r="N290">
        <v>0</v>
      </c>
      <c r="O290">
        <v>329.97</v>
      </c>
    </row>
    <row r="291" spans="1:15" x14ac:dyDescent="0.3">
      <c r="A291" t="s">
        <v>726</v>
      </c>
      <c r="B291" t="s">
        <v>579</v>
      </c>
      <c r="C291" t="s">
        <v>697</v>
      </c>
      <c r="D291" t="s">
        <v>51</v>
      </c>
      <c r="E291" t="s">
        <v>52</v>
      </c>
      <c r="F291" t="s">
        <v>20</v>
      </c>
      <c r="G291" t="s">
        <v>21</v>
      </c>
      <c r="H291" t="s">
        <v>22</v>
      </c>
      <c r="I291">
        <v>3</v>
      </c>
      <c r="J291">
        <v>89.99</v>
      </c>
      <c r="K291">
        <v>0</v>
      </c>
      <c r="L291" t="s">
        <v>23</v>
      </c>
      <c r="M291">
        <v>269.97000000000003</v>
      </c>
      <c r="N291">
        <v>0</v>
      </c>
      <c r="O291">
        <v>269.97000000000003</v>
      </c>
    </row>
    <row r="292" spans="1:15" x14ac:dyDescent="0.3">
      <c r="A292" t="s">
        <v>727</v>
      </c>
      <c r="B292" t="s">
        <v>728</v>
      </c>
      <c r="C292" t="s">
        <v>729</v>
      </c>
      <c r="D292" t="s">
        <v>27</v>
      </c>
      <c r="E292" t="s">
        <v>67</v>
      </c>
      <c r="F292" t="s">
        <v>20</v>
      </c>
      <c r="G292" t="s">
        <v>57</v>
      </c>
      <c r="H292" t="s">
        <v>130</v>
      </c>
      <c r="I292">
        <v>6</v>
      </c>
      <c r="J292">
        <v>109.99</v>
      </c>
      <c r="K292">
        <v>0.15</v>
      </c>
      <c r="L292" t="s">
        <v>37</v>
      </c>
      <c r="M292">
        <v>659.94</v>
      </c>
      <c r="N292">
        <v>98.99</v>
      </c>
      <c r="O292">
        <v>560.95000000000005</v>
      </c>
    </row>
    <row r="293" spans="1:15" x14ac:dyDescent="0.3">
      <c r="A293" t="s">
        <v>730</v>
      </c>
      <c r="B293" t="s">
        <v>689</v>
      </c>
      <c r="C293" t="s">
        <v>256</v>
      </c>
      <c r="D293" t="s">
        <v>27</v>
      </c>
      <c r="E293" t="s">
        <v>67</v>
      </c>
      <c r="F293" t="s">
        <v>20</v>
      </c>
      <c r="G293" t="s">
        <v>21</v>
      </c>
      <c r="H293" t="s">
        <v>22</v>
      </c>
      <c r="I293">
        <v>6</v>
      </c>
      <c r="J293">
        <v>89.99</v>
      </c>
      <c r="K293">
        <v>0</v>
      </c>
      <c r="L293" t="s">
        <v>47</v>
      </c>
      <c r="M293">
        <v>539.94000000000005</v>
      </c>
      <c r="N293">
        <v>0</v>
      </c>
      <c r="O293">
        <v>539.94000000000005</v>
      </c>
    </row>
    <row r="294" spans="1:15" x14ac:dyDescent="0.3">
      <c r="A294" t="s">
        <v>731</v>
      </c>
      <c r="B294" t="s">
        <v>732</v>
      </c>
      <c r="C294" t="s">
        <v>248</v>
      </c>
      <c r="D294" t="s">
        <v>32</v>
      </c>
      <c r="E294" t="s">
        <v>45</v>
      </c>
      <c r="F294" t="s">
        <v>34</v>
      </c>
      <c r="G294" t="s">
        <v>62</v>
      </c>
      <c r="H294" t="s">
        <v>63</v>
      </c>
      <c r="I294">
        <v>3</v>
      </c>
      <c r="J294">
        <v>199.99</v>
      </c>
      <c r="K294">
        <v>0.1</v>
      </c>
      <c r="L294" t="s">
        <v>47</v>
      </c>
      <c r="M294">
        <v>599.97</v>
      </c>
      <c r="N294">
        <v>60</v>
      </c>
      <c r="O294">
        <v>539.97</v>
      </c>
    </row>
    <row r="295" spans="1:15" x14ac:dyDescent="0.3">
      <c r="A295" t="s">
        <v>733</v>
      </c>
      <c r="B295" t="s">
        <v>247</v>
      </c>
      <c r="C295" t="s">
        <v>734</v>
      </c>
      <c r="D295" t="s">
        <v>51</v>
      </c>
      <c r="E295" t="s">
        <v>108</v>
      </c>
      <c r="F295" t="s">
        <v>20</v>
      </c>
      <c r="G295" t="s">
        <v>74</v>
      </c>
      <c r="H295" t="s">
        <v>143</v>
      </c>
      <c r="I295">
        <v>6</v>
      </c>
      <c r="J295">
        <v>99.99</v>
      </c>
      <c r="K295">
        <v>0.15</v>
      </c>
      <c r="L295" t="s">
        <v>47</v>
      </c>
      <c r="M295">
        <v>599.94000000000005</v>
      </c>
      <c r="N295">
        <v>89.99</v>
      </c>
      <c r="O295">
        <v>509.95</v>
      </c>
    </row>
    <row r="296" spans="1:15" x14ac:dyDescent="0.3">
      <c r="A296" t="s">
        <v>735</v>
      </c>
      <c r="B296" t="s">
        <v>736</v>
      </c>
      <c r="C296" t="s">
        <v>659</v>
      </c>
      <c r="D296" t="s">
        <v>72</v>
      </c>
      <c r="E296" t="s">
        <v>152</v>
      </c>
      <c r="F296" t="s">
        <v>34</v>
      </c>
      <c r="G296" t="s">
        <v>74</v>
      </c>
      <c r="H296" t="s">
        <v>143</v>
      </c>
      <c r="I296">
        <v>1</v>
      </c>
      <c r="J296">
        <v>99.99</v>
      </c>
      <c r="K296">
        <v>0.15</v>
      </c>
      <c r="L296" t="s">
        <v>80</v>
      </c>
      <c r="M296">
        <v>99.99</v>
      </c>
      <c r="N296">
        <v>15</v>
      </c>
      <c r="O296">
        <v>84.99</v>
      </c>
    </row>
    <row r="297" spans="1:15" x14ac:dyDescent="0.3">
      <c r="A297" t="s">
        <v>737</v>
      </c>
      <c r="B297" t="s">
        <v>548</v>
      </c>
      <c r="C297" t="s">
        <v>346</v>
      </c>
      <c r="D297" t="s">
        <v>32</v>
      </c>
      <c r="E297" t="s">
        <v>45</v>
      </c>
      <c r="F297" t="s">
        <v>20</v>
      </c>
      <c r="G297" t="s">
        <v>62</v>
      </c>
      <c r="H297" t="s">
        <v>124</v>
      </c>
      <c r="I297">
        <v>3</v>
      </c>
      <c r="J297">
        <v>399.99</v>
      </c>
      <c r="K297">
        <v>0</v>
      </c>
      <c r="L297" t="s">
        <v>37</v>
      </c>
      <c r="M297">
        <v>1199.97</v>
      </c>
      <c r="N297">
        <v>0</v>
      </c>
      <c r="O297">
        <v>1199.97</v>
      </c>
    </row>
    <row r="298" spans="1:15" x14ac:dyDescent="0.3">
      <c r="A298" t="s">
        <v>738</v>
      </c>
      <c r="B298" t="s">
        <v>739</v>
      </c>
      <c r="C298" t="s">
        <v>369</v>
      </c>
      <c r="D298" t="s">
        <v>18</v>
      </c>
      <c r="E298" t="s">
        <v>56</v>
      </c>
      <c r="F298" t="s">
        <v>34</v>
      </c>
      <c r="G298" t="s">
        <v>74</v>
      </c>
      <c r="H298" t="s">
        <v>143</v>
      </c>
      <c r="I298">
        <v>5</v>
      </c>
      <c r="J298">
        <v>99.99</v>
      </c>
      <c r="K298">
        <v>0.05</v>
      </c>
      <c r="L298" t="s">
        <v>37</v>
      </c>
      <c r="M298">
        <v>499.95</v>
      </c>
      <c r="N298">
        <v>25</v>
      </c>
      <c r="O298">
        <v>474.95</v>
      </c>
    </row>
    <row r="299" spans="1:15" x14ac:dyDescent="0.3">
      <c r="A299" t="s">
        <v>740</v>
      </c>
      <c r="B299" t="s">
        <v>94</v>
      </c>
      <c r="C299" t="s">
        <v>195</v>
      </c>
      <c r="D299" t="s">
        <v>51</v>
      </c>
      <c r="E299" t="s">
        <v>52</v>
      </c>
      <c r="F299" t="s">
        <v>20</v>
      </c>
      <c r="G299" t="s">
        <v>74</v>
      </c>
      <c r="H299" t="s">
        <v>143</v>
      </c>
      <c r="I299">
        <v>5</v>
      </c>
      <c r="J299">
        <v>99.99</v>
      </c>
      <c r="K299">
        <v>0.1</v>
      </c>
      <c r="L299" t="s">
        <v>37</v>
      </c>
      <c r="M299">
        <v>499.95</v>
      </c>
      <c r="N299">
        <v>50</v>
      </c>
      <c r="O299">
        <v>449.95</v>
      </c>
    </row>
    <row r="300" spans="1:15" x14ac:dyDescent="0.3">
      <c r="A300" t="s">
        <v>741</v>
      </c>
      <c r="B300" t="s">
        <v>411</v>
      </c>
      <c r="C300" t="s">
        <v>559</v>
      </c>
      <c r="D300" t="s">
        <v>18</v>
      </c>
      <c r="E300" t="s">
        <v>19</v>
      </c>
      <c r="F300" t="s">
        <v>34</v>
      </c>
      <c r="G300" t="s">
        <v>21</v>
      </c>
      <c r="H300" t="s">
        <v>68</v>
      </c>
      <c r="I300">
        <v>2</v>
      </c>
      <c r="J300">
        <v>129.99</v>
      </c>
      <c r="K300">
        <v>0</v>
      </c>
      <c r="L300" t="s">
        <v>23</v>
      </c>
      <c r="M300">
        <v>259.98</v>
      </c>
      <c r="N300">
        <v>0</v>
      </c>
      <c r="O300">
        <v>259.98</v>
      </c>
    </row>
    <row r="301" spans="1:15" x14ac:dyDescent="0.3">
      <c r="A301" t="s">
        <v>742</v>
      </c>
      <c r="B301" t="s">
        <v>743</v>
      </c>
      <c r="C301" t="s">
        <v>157</v>
      </c>
      <c r="D301" t="s">
        <v>32</v>
      </c>
      <c r="E301" t="s">
        <v>33</v>
      </c>
      <c r="F301" t="s">
        <v>20</v>
      </c>
      <c r="G301" t="s">
        <v>62</v>
      </c>
      <c r="H301" t="s">
        <v>63</v>
      </c>
      <c r="I301">
        <v>4</v>
      </c>
      <c r="J301">
        <v>199.99</v>
      </c>
      <c r="K301">
        <v>0</v>
      </c>
      <c r="L301" t="s">
        <v>47</v>
      </c>
      <c r="M301">
        <v>799.96</v>
      </c>
      <c r="N301">
        <v>0</v>
      </c>
      <c r="O301">
        <v>799.96</v>
      </c>
    </row>
    <row r="302" spans="1:15" x14ac:dyDescent="0.3">
      <c r="A302" t="s">
        <v>744</v>
      </c>
      <c r="B302" t="s">
        <v>284</v>
      </c>
      <c r="C302" t="s">
        <v>745</v>
      </c>
      <c r="D302" t="s">
        <v>51</v>
      </c>
      <c r="E302" t="s">
        <v>108</v>
      </c>
      <c r="F302" t="s">
        <v>34</v>
      </c>
      <c r="G302" t="s">
        <v>74</v>
      </c>
      <c r="H302" t="s">
        <v>75</v>
      </c>
      <c r="I302">
        <v>3</v>
      </c>
      <c r="J302">
        <v>299.99</v>
      </c>
      <c r="K302">
        <v>0.05</v>
      </c>
      <c r="L302" t="s">
        <v>80</v>
      </c>
      <c r="M302">
        <v>899.97</v>
      </c>
      <c r="N302">
        <v>45</v>
      </c>
      <c r="O302">
        <v>854.97</v>
      </c>
    </row>
    <row r="303" spans="1:15" x14ac:dyDescent="0.3">
      <c r="A303" t="s">
        <v>746</v>
      </c>
      <c r="B303" t="s">
        <v>747</v>
      </c>
      <c r="C303" t="s">
        <v>297</v>
      </c>
      <c r="D303" t="s">
        <v>51</v>
      </c>
      <c r="E303" t="s">
        <v>52</v>
      </c>
      <c r="F303" t="s">
        <v>34</v>
      </c>
      <c r="G303" t="s">
        <v>74</v>
      </c>
      <c r="H303" t="s">
        <v>112</v>
      </c>
      <c r="I303">
        <v>5</v>
      </c>
      <c r="J303">
        <v>129.99</v>
      </c>
      <c r="K303">
        <v>0.1</v>
      </c>
      <c r="L303" t="s">
        <v>23</v>
      </c>
      <c r="M303">
        <v>649.95000000000005</v>
      </c>
      <c r="N303">
        <v>65</v>
      </c>
      <c r="O303">
        <v>584.95000000000005</v>
      </c>
    </row>
    <row r="304" spans="1:15" x14ac:dyDescent="0.3">
      <c r="A304" t="s">
        <v>748</v>
      </c>
      <c r="B304" t="s">
        <v>749</v>
      </c>
      <c r="C304" t="s">
        <v>315</v>
      </c>
      <c r="D304" t="s">
        <v>72</v>
      </c>
      <c r="E304" t="s">
        <v>152</v>
      </c>
      <c r="F304" t="s">
        <v>20</v>
      </c>
      <c r="G304" t="s">
        <v>74</v>
      </c>
      <c r="H304" t="s">
        <v>143</v>
      </c>
      <c r="I304">
        <v>2</v>
      </c>
      <c r="J304">
        <v>99.99</v>
      </c>
      <c r="K304">
        <v>0</v>
      </c>
      <c r="L304" t="s">
        <v>37</v>
      </c>
      <c r="M304">
        <v>199.98</v>
      </c>
      <c r="N304">
        <v>0</v>
      </c>
      <c r="O304">
        <v>199.98</v>
      </c>
    </row>
    <row r="305" spans="1:15" x14ac:dyDescent="0.3">
      <c r="A305" t="s">
        <v>750</v>
      </c>
      <c r="B305" t="s">
        <v>749</v>
      </c>
      <c r="C305" t="s">
        <v>71</v>
      </c>
      <c r="D305" t="s">
        <v>51</v>
      </c>
      <c r="E305" t="s">
        <v>52</v>
      </c>
      <c r="F305" t="s">
        <v>34</v>
      </c>
      <c r="G305" t="s">
        <v>21</v>
      </c>
      <c r="H305" t="s">
        <v>87</v>
      </c>
      <c r="I305">
        <v>2</v>
      </c>
      <c r="J305">
        <v>149.99</v>
      </c>
      <c r="K305">
        <v>0.05</v>
      </c>
      <c r="L305" t="s">
        <v>80</v>
      </c>
      <c r="M305">
        <v>299.98</v>
      </c>
      <c r="N305">
        <v>15</v>
      </c>
      <c r="O305">
        <v>284.98</v>
      </c>
    </row>
    <row r="306" spans="1:15" x14ac:dyDescent="0.3">
      <c r="A306" t="s">
        <v>751</v>
      </c>
      <c r="B306" t="s">
        <v>752</v>
      </c>
      <c r="C306" t="s">
        <v>378</v>
      </c>
      <c r="D306" t="s">
        <v>18</v>
      </c>
      <c r="E306" t="s">
        <v>56</v>
      </c>
      <c r="F306" t="s">
        <v>20</v>
      </c>
      <c r="G306" t="s">
        <v>62</v>
      </c>
      <c r="H306" t="s">
        <v>124</v>
      </c>
      <c r="I306">
        <v>5</v>
      </c>
      <c r="J306">
        <v>399.99</v>
      </c>
      <c r="K306">
        <v>0</v>
      </c>
      <c r="L306" t="s">
        <v>23</v>
      </c>
      <c r="M306">
        <v>1999.95</v>
      </c>
      <c r="N306">
        <v>0</v>
      </c>
      <c r="O306">
        <v>1999.95</v>
      </c>
    </row>
    <row r="307" spans="1:15" x14ac:dyDescent="0.3">
      <c r="A307" t="s">
        <v>753</v>
      </c>
      <c r="B307" t="s">
        <v>754</v>
      </c>
      <c r="C307" t="s">
        <v>755</v>
      </c>
      <c r="D307" t="s">
        <v>18</v>
      </c>
      <c r="E307" t="s">
        <v>19</v>
      </c>
      <c r="F307" t="s">
        <v>20</v>
      </c>
      <c r="G307" t="s">
        <v>21</v>
      </c>
      <c r="H307" t="s">
        <v>68</v>
      </c>
      <c r="I307">
        <v>4</v>
      </c>
      <c r="J307">
        <v>129.99</v>
      </c>
      <c r="K307">
        <v>0</v>
      </c>
      <c r="L307" t="s">
        <v>23</v>
      </c>
      <c r="M307">
        <v>519.96</v>
      </c>
      <c r="N307">
        <v>0</v>
      </c>
      <c r="O307">
        <v>519.96</v>
      </c>
    </row>
    <row r="308" spans="1:15" x14ac:dyDescent="0.3">
      <c r="A308" t="s">
        <v>756</v>
      </c>
      <c r="B308" t="s">
        <v>757</v>
      </c>
      <c r="C308" t="s">
        <v>209</v>
      </c>
      <c r="D308" t="s">
        <v>51</v>
      </c>
      <c r="E308" t="s">
        <v>52</v>
      </c>
      <c r="F308" t="s">
        <v>20</v>
      </c>
      <c r="G308" t="s">
        <v>21</v>
      </c>
      <c r="H308" t="s">
        <v>68</v>
      </c>
      <c r="I308">
        <v>6</v>
      </c>
      <c r="J308">
        <v>129.99</v>
      </c>
      <c r="K308">
        <v>0.1</v>
      </c>
      <c r="L308" t="s">
        <v>47</v>
      </c>
      <c r="M308">
        <v>779.94</v>
      </c>
      <c r="N308">
        <v>77.989999999999995</v>
      </c>
      <c r="O308">
        <v>701.95</v>
      </c>
    </row>
    <row r="309" spans="1:15" x14ac:dyDescent="0.3">
      <c r="A309" t="s">
        <v>758</v>
      </c>
      <c r="B309" t="s">
        <v>374</v>
      </c>
      <c r="C309" t="s">
        <v>759</v>
      </c>
      <c r="D309" t="s">
        <v>27</v>
      </c>
      <c r="E309" t="s">
        <v>123</v>
      </c>
      <c r="F309" t="s">
        <v>20</v>
      </c>
      <c r="G309" t="s">
        <v>35</v>
      </c>
      <c r="H309" t="s">
        <v>41</v>
      </c>
      <c r="I309">
        <v>3</v>
      </c>
      <c r="J309">
        <v>104.99</v>
      </c>
      <c r="K309">
        <v>0.1</v>
      </c>
      <c r="L309" t="s">
        <v>37</v>
      </c>
      <c r="M309">
        <v>314.97000000000003</v>
      </c>
      <c r="N309">
        <v>31.5</v>
      </c>
      <c r="O309">
        <v>283.47000000000003</v>
      </c>
    </row>
    <row r="310" spans="1:15" x14ac:dyDescent="0.3">
      <c r="A310" t="s">
        <v>760</v>
      </c>
      <c r="B310" t="s">
        <v>761</v>
      </c>
      <c r="C310" t="s">
        <v>762</v>
      </c>
      <c r="D310" t="s">
        <v>32</v>
      </c>
      <c r="E310" t="s">
        <v>33</v>
      </c>
      <c r="F310" t="s">
        <v>34</v>
      </c>
      <c r="G310" t="s">
        <v>57</v>
      </c>
      <c r="H310" t="s">
        <v>189</v>
      </c>
      <c r="I310">
        <v>5</v>
      </c>
      <c r="J310">
        <v>119.99</v>
      </c>
      <c r="K310">
        <v>0.15</v>
      </c>
      <c r="L310" t="s">
        <v>80</v>
      </c>
      <c r="M310">
        <v>599.95000000000005</v>
      </c>
      <c r="N310">
        <v>89.99</v>
      </c>
      <c r="O310">
        <v>509.96</v>
      </c>
    </row>
    <row r="311" spans="1:15" x14ac:dyDescent="0.3">
      <c r="A311" t="s">
        <v>763</v>
      </c>
      <c r="B311" t="s">
        <v>520</v>
      </c>
      <c r="C311" t="s">
        <v>438</v>
      </c>
      <c r="D311" t="s">
        <v>51</v>
      </c>
      <c r="E311" t="s">
        <v>108</v>
      </c>
      <c r="F311" t="s">
        <v>20</v>
      </c>
      <c r="G311" t="s">
        <v>57</v>
      </c>
      <c r="H311" t="s">
        <v>58</v>
      </c>
      <c r="I311">
        <v>2</v>
      </c>
      <c r="J311">
        <v>89.99</v>
      </c>
      <c r="K311">
        <v>0.15</v>
      </c>
      <c r="L311" t="s">
        <v>23</v>
      </c>
      <c r="M311">
        <v>179.98</v>
      </c>
      <c r="N311">
        <v>27</v>
      </c>
      <c r="O311">
        <v>152.97999999999999</v>
      </c>
    </row>
    <row r="312" spans="1:15" x14ac:dyDescent="0.3">
      <c r="A312" t="s">
        <v>764</v>
      </c>
      <c r="B312" t="s">
        <v>417</v>
      </c>
      <c r="C312" t="s">
        <v>765</v>
      </c>
      <c r="D312" t="s">
        <v>32</v>
      </c>
      <c r="E312" t="s">
        <v>33</v>
      </c>
      <c r="F312" t="s">
        <v>20</v>
      </c>
      <c r="G312" t="s">
        <v>74</v>
      </c>
      <c r="H312" t="s">
        <v>112</v>
      </c>
      <c r="I312">
        <v>6</v>
      </c>
      <c r="J312">
        <v>129.99</v>
      </c>
      <c r="K312">
        <v>0.05</v>
      </c>
      <c r="L312" t="s">
        <v>80</v>
      </c>
      <c r="M312">
        <v>779.94</v>
      </c>
      <c r="N312">
        <v>39</v>
      </c>
      <c r="O312">
        <v>740.94</v>
      </c>
    </row>
    <row r="313" spans="1:15" x14ac:dyDescent="0.3">
      <c r="A313" t="s">
        <v>766</v>
      </c>
      <c r="B313" t="s">
        <v>561</v>
      </c>
      <c r="C313" t="s">
        <v>139</v>
      </c>
      <c r="D313" t="s">
        <v>18</v>
      </c>
      <c r="E313" t="s">
        <v>56</v>
      </c>
      <c r="F313" t="s">
        <v>20</v>
      </c>
      <c r="G313" t="s">
        <v>74</v>
      </c>
      <c r="H313" t="s">
        <v>143</v>
      </c>
      <c r="I313">
        <v>4</v>
      </c>
      <c r="J313">
        <v>99.99</v>
      </c>
      <c r="K313">
        <v>0.05</v>
      </c>
      <c r="L313" t="s">
        <v>80</v>
      </c>
      <c r="M313">
        <v>399.96</v>
      </c>
      <c r="N313">
        <v>20</v>
      </c>
      <c r="O313">
        <v>379.96</v>
      </c>
    </row>
    <row r="314" spans="1:15" x14ac:dyDescent="0.3">
      <c r="A314" t="s">
        <v>767</v>
      </c>
      <c r="B314" t="s">
        <v>637</v>
      </c>
      <c r="C314" t="s">
        <v>277</v>
      </c>
      <c r="D314" t="s">
        <v>18</v>
      </c>
      <c r="E314" t="s">
        <v>19</v>
      </c>
      <c r="F314" t="s">
        <v>34</v>
      </c>
      <c r="G314" t="s">
        <v>74</v>
      </c>
      <c r="H314" t="s">
        <v>143</v>
      </c>
      <c r="I314">
        <v>5</v>
      </c>
      <c r="J314">
        <v>99.99</v>
      </c>
      <c r="K314">
        <v>0.05</v>
      </c>
      <c r="L314" t="s">
        <v>47</v>
      </c>
      <c r="M314">
        <v>499.95</v>
      </c>
      <c r="N314">
        <v>25</v>
      </c>
      <c r="O314">
        <v>474.95</v>
      </c>
    </row>
    <row r="315" spans="1:15" x14ac:dyDescent="0.3">
      <c r="A315" t="s">
        <v>768</v>
      </c>
      <c r="B315" t="s">
        <v>110</v>
      </c>
      <c r="C315" t="s">
        <v>557</v>
      </c>
      <c r="D315" t="s">
        <v>18</v>
      </c>
      <c r="E315" t="s">
        <v>56</v>
      </c>
      <c r="F315" t="s">
        <v>34</v>
      </c>
      <c r="G315" t="s">
        <v>74</v>
      </c>
      <c r="H315" t="s">
        <v>75</v>
      </c>
      <c r="I315">
        <v>3</v>
      </c>
      <c r="J315">
        <v>299.99</v>
      </c>
      <c r="K315">
        <v>0.1</v>
      </c>
      <c r="L315" t="s">
        <v>37</v>
      </c>
      <c r="M315">
        <v>899.97</v>
      </c>
      <c r="N315">
        <v>90</v>
      </c>
      <c r="O315">
        <v>809.97</v>
      </c>
    </row>
    <row r="316" spans="1:15" x14ac:dyDescent="0.3">
      <c r="A316" t="s">
        <v>769</v>
      </c>
      <c r="B316" t="s">
        <v>482</v>
      </c>
      <c r="C316" t="s">
        <v>122</v>
      </c>
      <c r="D316" t="s">
        <v>27</v>
      </c>
      <c r="E316" t="s">
        <v>123</v>
      </c>
      <c r="F316" t="s">
        <v>20</v>
      </c>
      <c r="G316" t="s">
        <v>21</v>
      </c>
      <c r="H316" t="s">
        <v>22</v>
      </c>
      <c r="I316">
        <v>4</v>
      </c>
      <c r="J316">
        <v>89.99</v>
      </c>
      <c r="K316">
        <v>0</v>
      </c>
      <c r="L316" t="s">
        <v>23</v>
      </c>
      <c r="M316">
        <v>359.96</v>
      </c>
      <c r="N316">
        <v>0</v>
      </c>
      <c r="O316">
        <v>359.96</v>
      </c>
    </row>
    <row r="317" spans="1:15" x14ac:dyDescent="0.3">
      <c r="A317" t="s">
        <v>770</v>
      </c>
      <c r="B317" t="s">
        <v>667</v>
      </c>
      <c r="C317" t="s">
        <v>663</v>
      </c>
      <c r="D317" t="s">
        <v>72</v>
      </c>
      <c r="E317" t="s">
        <v>73</v>
      </c>
      <c r="F317" t="s">
        <v>20</v>
      </c>
      <c r="G317" t="s">
        <v>74</v>
      </c>
      <c r="H317" t="s">
        <v>112</v>
      </c>
      <c r="I317">
        <v>6</v>
      </c>
      <c r="J317">
        <v>129.99</v>
      </c>
      <c r="K317">
        <v>0</v>
      </c>
      <c r="L317" t="s">
        <v>37</v>
      </c>
      <c r="M317">
        <v>779.94</v>
      </c>
      <c r="N317">
        <v>0</v>
      </c>
      <c r="O317">
        <v>779.94</v>
      </c>
    </row>
    <row r="318" spans="1:15" x14ac:dyDescent="0.3">
      <c r="A318" t="s">
        <v>771</v>
      </c>
      <c r="B318" t="s">
        <v>667</v>
      </c>
      <c r="C318" t="s">
        <v>546</v>
      </c>
      <c r="D318" t="s">
        <v>18</v>
      </c>
      <c r="E318" t="s">
        <v>19</v>
      </c>
      <c r="F318" t="s">
        <v>20</v>
      </c>
      <c r="G318" t="s">
        <v>21</v>
      </c>
      <c r="H318" t="s">
        <v>87</v>
      </c>
      <c r="I318">
        <v>3</v>
      </c>
      <c r="J318">
        <v>149.99</v>
      </c>
      <c r="K318">
        <v>0.15</v>
      </c>
      <c r="L318" t="s">
        <v>23</v>
      </c>
      <c r="M318">
        <v>449.97</v>
      </c>
      <c r="N318">
        <v>67.5</v>
      </c>
      <c r="O318">
        <v>382.47</v>
      </c>
    </row>
    <row r="319" spans="1:15" x14ac:dyDescent="0.3">
      <c r="A319" t="s">
        <v>772</v>
      </c>
      <c r="B319" t="s">
        <v>773</v>
      </c>
      <c r="C319" t="s">
        <v>66</v>
      </c>
      <c r="D319" t="s">
        <v>72</v>
      </c>
      <c r="E319" t="s">
        <v>73</v>
      </c>
      <c r="F319" t="s">
        <v>34</v>
      </c>
      <c r="G319" t="s">
        <v>57</v>
      </c>
      <c r="H319" t="s">
        <v>58</v>
      </c>
      <c r="I319">
        <v>6</v>
      </c>
      <c r="J319">
        <v>89.99</v>
      </c>
      <c r="K319">
        <v>0</v>
      </c>
      <c r="L319" t="s">
        <v>80</v>
      </c>
      <c r="M319">
        <v>539.94000000000005</v>
      </c>
      <c r="N319">
        <v>0</v>
      </c>
      <c r="O319">
        <v>539.94000000000005</v>
      </c>
    </row>
    <row r="320" spans="1:15" x14ac:dyDescent="0.3">
      <c r="A320" t="s">
        <v>774</v>
      </c>
      <c r="B320" t="s">
        <v>371</v>
      </c>
      <c r="C320" t="s">
        <v>323</v>
      </c>
      <c r="D320" t="s">
        <v>32</v>
      </c>
      <c r="E320" t="s">
        <v>33</v>
      </c>
      <c r="F320" t="s">
        <v>20</v>
      </c>
      <c r="G320" t="s">
        <v>35</v>
      </c>
      <c r="H320" t="s">
        <v>41</v>
      </c>
      <c r="I320">
        <v>1</v>
      </c>
      <c r="J320">
        <v>104.99</v>
      </c>
      <c r="K320">
        <v>0</v>
      </c>
      <c r="L320" t="s">
        <v>23</v>
      </c>
      <c r="M320">
        <v>104.99</v>
      </c>
      <c r="N320">
        <v>0</v>
      </c>
      <c r="O320">
        <v>104.99</v>
      </c>
    </row>
    <row r="321" spans="1:15" x14ac:dyDescent="0.3">
      <c r="A321" t="s">
        <v>775</v>
      </c>
      <c r="B321" t="s">
        <v>16</v>
      </c>
      <c r="C321" t="s">
        <v>507</v>
      </c>
      <c r="D321" t="s">
        <v>27</v>
      </c>
      <c r="E321" t="s">
        <v>28</v>
      </c>
      <c r="F321" t="s">
        <v>34</v>
      </c>
      <c r="G321" t="s">
        <v>35</v>
      </c>
      <c r="H321" t="s">
        <v>36</v>
      </c>
      <c r="I321">
        <v>4</v>
      </c>
      <c r="J321">
        <v>79.989999999999995</v>
      </c>
      <c r="K321">
        <v>0</v>
      </c>
      <c r="L321" t="s">
        <v>37</v>
      </c>
      <c r="M321">
        <v>319.95999999999998</v>
      </c>
      <c r="N321">
        <v>0</v>
      </c>
      <c r="O321">
        <v>319.95999999999998</v>
      </c>
    </row>
    <row r="322" spans="1:15" x14ac:dyDescent="0.3">
      <c r="A322" t="s">
        <v>776</v>
      </c>
      <c r="B322" t="s">
        <v>414</v>
      </c>
      <c r="C322" t="s">
        <v>337</v>
      </c>
      <c r="D322" t="s">
        <v>72</v>
      </c>
      <c r="E322" t="s">
        <v>73</v>
      </c>
      <c r="F322" t="s">
        <v>20</v>
      </c>
      <c r="G322" t="s">
        <v>57</v>
      </c>
      <c r="H322" t="s">
        <v>58</v>
      </c>
      <c r="I322">
        <v>6</v>
      </c>
      <c r="J322">
        <v>89.99</v>
      </c>
      <c r="K322">
        <v>0.15</v>
      </c>
      <c r="L322" t="s">
        <v>47</v>
      </c>
      <c r="M322">
        <v>539.94000000000005</v>
      </c>
      <c r="N322">
        <v>80.989999999999995</v>
      </c>
      <c r="O322">
        <v>458.95</v>
      </c>
    </row>
    <row r="323" spans="1:15" x14ac:dyDescent="0.3">
      <c r="A323" t="s">
        <v>777</v>
      </c>
      <c r="B323" t="s">
        <v>778</v>
      </c>
      <c r="C323" t="s">
        <v>312</v>
      </c>
      <c r="D323" t="s">
        <v>51</v>
      </c>
      <c r="E323" t="s">
        <v>108</v>
      </c>
      <c r="F323" t="s">
        <v>20</v>
      </c>
      <c r="G323" t="s">
        <v>74</v>
      </c>
      <c r="H323" t="s">
        <v>75</v>
      </c>
      <c r="I323">
        <v>4</v>
      </c>
      <c r="J323">
        <v>299.99</v>
      </c>
      <c r="K323">
        <v>0.1</v>
      </c>
      <c r="L323" t="s">
        <v>80</v>
      </c>
      <c r="M323">
        <v>1199.96</v>
      </c>
      <c r="N323">
        <v>120</v>
      </c>
      <c r="O323">
        <v>1079.96</v>
      </c>
    </row>
    <row r="324" spans="1:15" x14ac:dyDescent="0.3">
      <c r="A324" t="s">
        <v>779</v>
      </c>
      <c r="B324" t="s">
        <v>408</v>
      </c>
      <c r="C324" t="s">
        <v>780</v>
      </c>
      <c r="D324" t="s">
        <v>27</v>
      </c>
      <c r="E324" t="s">
        <v>123</v>
      </c>
      <c r="F324" t="s">
        <v>34</v>
      </c>
      <c r="G324" t="s">
        <v>21</v>
      </c>
      <c r="H324" t="s">
        <v>68</v>
      </c>
      <c r="I324">
        <v>6</v>
      </c>
      <c r="J324">
        <v>129.99</v>
      </c>
      <c r="K324">
        <v>0.05</v>
      </c>
      <c r="L324" t="s">
        <v>37</v>
      </c>
      <c r="M324">
        <v>779.94</v>
      </c>
      <c r="N324">
        <v>39</v>
      </c>
      <c r="O324">
        <v>740.94</v>
      </c>
    </row>
    <row r="325" spans="1:15" x14ac:dyDescent="0.3">
      <c r="A325" t="s">
        <v>781</v>
      </c>
      <c r="B325" t="s">
        <v>782</v>
      </c>
      <c r="C325" t="s">
        <v>406</v>
      </c>
      <c r="D325" t="s">
        <v>18</v>
      </c>
      <c r="E325" t="s">
        <v>19</v>
      </c>
      <c r="F325" t="s">
        <v>34</v>
      </c>
      <c r="G325" t="s">
        <v>35</v>
      </c>
      <c r="H325" t="s">
        <v>41</v>
      </c>
      <c r="I325">
        <v>2</v>
      </c>
      <c r="J325">
        <v>104.99</v>
      </c>
      <c r="K325">
        <v>0.1</v>
      </c>
      <c r="L325" t="s">
        <v>80</v>
      </c>
      <c r="M325">
        <v>209.98</v>
      </c>
      <c r="N325">
        <v>21</v>
      </c>
      <c r="O325">
        <v>188.98</v>
      </c>
    </row>
    <row r="326" spans="1:15" x14ac:dyDescent="0.3">
      <c r="A326" t="s">
        <v>783</v>
      </c>
      <c r="B326" t="s">
        <v>187</v>
      </c>
      <c r="C326" t="s">
        <v>784</v>
      </c>
      <c r="D326" t="s">
        <v>32</v>
      </c>
      <c r="E326" t="s">
        <v>45</v>
      </c>
      <c r="F326" t="s">
        <v>20</v>
      </c>
      <c r="G326" t="s">
        <v>57</v>
      </c>
      <c r="H326" t="s">
        <v>58</v>
      </c>
      <c r="I326">
        <v>6</v>
      </c>
      <c r="J326">
        <v>89.99</v>
      </c>
      <c r="K326">
        <v>0.05</v>
      </c>
      <c r="L326" t="s">
        <v>47</v>
      </c>
      <c r="M326">
        <v>539.94000000000005</v>
      </c>
      <c r="N326">
        <v>27</v>
      </c>
      <c r="O326">
        <v>512.94000000000005</v>
      </c>
    </row>
    <row r="327" spans="1:15" x14ac:dyDescent="0.3">
      <c r="A327" t="s">
        <v>785</v>
      </c>
      <c r="B327" t="s">
        <v>786</v>
      </c>
      <c r="C327" t="s">
        <v>787</v>
      </c>
      <c r="D327" t="s">
        <v>27</v>
      </c>
      <c r="E327" t="s">
        <v>28</v>
      </c>
      <c r="F327" t="s">
        <v>20</v>
      </c>
      <c r="G327" t="s">
        <v>74</v>
      </c>
      <c r="H327" t="s">
        <v>75</v>
      </c>
      <c r="I327">
        <v>4</v>
      </c>
      <c r="J327">
        <v>299.99</v>
      </c>
      <c r="K327">
        <v>0.15</v>
      </c>
      <c r="L327" t="s">
        <v>37</v>
      </c>
      <c r="M327">
        <v>1199.96</v>
      </c>
      <c r="N327">
        <v>179.99</v>
      </c>
      <c r="O327">
        <v>1019.97</v>
      </c>
    </row>
    <row r="328" spans="1:15" x14ac:dyDescent="0.3">
      <c r="A328" t="s">
        <v>788</v>
      </c>
      <c r="B328" t="s">
        <v>789</v>
      </c>
      <c r="C328" t="s">
        <v>429</v>
      </c>
      <c r="D328" t="s">
        <v>72</v>
      </c>
      <c r="E328" t="s">
        <v>152</v>
      </c>
      <c r="F328" t="s">
        <v>34</v>
      </c>
      <c r="G328" t="s">
        <v>57</v>
      </c>
      <c r="H328" t="s">
        <v>58</v>
      </c>
      <c r="I328">
        <v>3</v>
      </c>
      <c r="J328">
        <v>89.99</v>
      </c>
      <c r="K328">
        <v>0.1</v>
      </c>
      <c r="L328" t="s">
        <v>80</v>
      </c>
      <c r="M328">
        <v>269.97000000000003</v>
      </c>
      <c r="N328">
        <v>27</v>
      </c>
      <c r="O328">
        <v>242.97</v>
      </c>
    </row>
    <row r="329" spans="1:15" x14ac:dyDescent="0.3">
      <c r="A329" t="s">
        <v>790</v>
      </c>
      <c r="B329" t="s">
        <v>791</v>
      </c>
      <c r="C329" t="s">
        <v>372</v>
      </c>
      <c r="D329" t="s">
        <v>27</v>
      </c>
      <c r="E329" t="s">
        <v>67</v>
      </c>
      <c r="F329" t="s">
        <v>34</v>
      </c>
      <c r="G329" t="s">
        <v>21</v>
      </c>
      <c r="H329" t="s">
        <v>22</v>
      </c>
      <c r="I329">
        <v>2</v>
      </c>
      <c r="J329">
        <v>89.99</v>
      </c>
      <c r="K329">
        <v>0</v>
      </c>
      <c r="L329" t="s">
        <v>37</v>
      </c>
      <c r="M329">
        <v>179.98</v>
      </c>
      <c r="N329">
        <v>0</v>
      </c>
      <c r="O329">
        <v>179.98</v>
      </c>
    </row>
    <row r="330" spans="1:15" x14ac:dyDescent="0.3">
      <c r="A330" t="s">
        <v>792</v>
      </c>
      <c r="B330" t="s">
        <v>793</v>
      </c>
      <c r="C330" t="s">
        <v>794</v>
      </c>
      <c r="D330" t="s">
        <v>72</v>
      </c>
      <c r="E330" t="s">
        <v>152</v>
      </c>
      <c r="F330" t="s">
        <v>20</v>
      </c>
      <c r="G330" t="s">
        <v>62</v>
      </c>
      <c r="H330" t="s">
        <v>79</v>
      </c>
      <c r="I330">
        <v>1</v>
      </c>
      <c r="J330">
        <v>249.99</v>
      </c>
      <c r="K330">
        <v>0.15</v>
      </c>
      <c r="L330" t="s">
        <v>37</v>
      </c>
      <c r="M330">
        <v>249.99</v>
      </c>
      <c r="N330">
        <v>37.5</v>
      </c>
      <c r="O330">
        <v>212.49</v>
      </c>
    </row>
    <row r="331" spans="1:15" x14ac:dyDescent="0.3">
      <c r="A331" t="s">
        <v>795</v>
      </c>
      <c r="B331" t="s">
        <v>793</v>
      </c>
      <c r="C331" t="s">
        <v>232</v>
      </c>
      <c r="D331" t="s">
        <v>27</v>
      </c>
      <c r="E331" t="s">
        <v>123</v>
      </c>
      <c r="F331" t="s">
        <v>34</v>
      </c>
      <c r="G331" t="s">
        <v>21</v>
      </c>
      <c r="H331" t="s">
        <v>87</v>
      </c>
      <c r="I331">
        <v>2</v>
      </c>
      <c r="J331">
        <v>149.99</v>
      </c>
      <c r="K331">
        <v>0</v>
      </c>
      <c r="L331" t="s">
        <v>80</v>
      </c>
      <c r="M331">
        <v>299.98</v>
      </c>
      <c r="N331">
        <v>0</v>
      </c>
      <c r="O331">
        <v>299.98</v>
      </c>
    </row>
    <row r="332" spans="1:15" x14ac:dyDescent="0.3">
      <c r="A332" t="s">
        <v>796</v>
      </c>
      <c r="B332" t="s">
        <v>797</v>
      </c>
      <c r="C332" t="s">
        <v>369</v>
      </c>
      <c r="D332" t="s">
        <v>51</v>
      </c>
      <c r="E332" t="s">
        <v>108</v>
      </c>
      <c r="F332" t="s">
        <v>34</v>
      </c>
      <c r="G332" t="s">
        <v>57</v>
      </c>
      <c r="H332" t="s">
        <v>130</v>
      </c>
      <c r="I332">
        <v>2</v>
      </c>
      <c r="J332">
        <v>109.99</v>
      </c>
      <c r="K332">
        <v>0</v>
      </c>
      <c r="L332" t="s">
        <v>80</v>
      </c>
      <c r="M332">
        <v>219.98</v>
      </c>
      <c r="N332">
        <v>0</v>
      </c>
      <c r="O332">
        <v>219.98</v>
      </c>
    </row>
    <row r="333" spans="1:15" x14ac:dyDescent="0.3">
      <c r="A333" t="s">
        <v>798</v>
      </c>
      <c r="B333" t="s">
        <v>170</v>
      </c>
      <c r="C333" t="s">
        <v>146</v>
      </c>
      <c r="D333" t="s">
        <v>27</v>
      </c>
      <c r="E333" t="s">
        <v>28</v>
      </c>
      <c r="F333" t="s">
        <v>20</v>
      </c>
      <c r="G333" t="s">
        <v>57</v>
      </c>
      <c r="H333" t="s">
        <v>58</v>
      </c>
      <c r="I333">
        <v>6</v>
      </c>
      <c r="J333">
        <v>89.99</v>
      </c>
      <c r="K333">
        <v>0</v>
      </c>
      <c r="L333" t="s">
        <v>23</v>
      </c>
      <c r="M333">
        <v>539.94000000000005</v>
      </c>
      <c r="N333">
        <v>0</v>
      </c>
      <c r="O333">
        <v>539.94000000000005</v>
      </c>
    </row>
    <row r="334" spans="1:15" x14ac:dyDescent="0.3">
      <c r="A334" t="s">
        <v>799</v>
      </c>
      <c r="B334" t="s">
        <v>800</v>
      </c>
      <c r="C334" t="s">
        <v>95</v>
      </c>
      <c r="D334" t="s">
        <v>51</v>
      </c>
      <c r="E334" t="s">
        <v>52</v>
      </c>
      <c r="F334" t="s">
        <v>20</v>
      </c>
      <c r="G334" t="s">
        <v>57</v>
      </c>
      <c r="H334" t="s">
        <v>189</v>
      </c>
      <c r="I334">
        <v>2</v>
      </c>
      <c r="J334">
        <v>119.99</v>
      </c>
      <c r="K334">
        <v>0.15</v>
      </c>
      <c r="L334" t="s">
        <v>80</v>
      </c>
      <c r="M334">
        <v>239.98</v>
      </c>
      <c r="N334">
        <v>36</v>
      </c>
      <c r="O334">
        <v>203.98</v>
      </c>
    </row>
    <row r="335" spans="1:15" x14ac:dyDescent="0.3">
      <c r="A335" t="s">
        <v>801</v>
      </c>
      <c r="B335" t="s">
        <v>110</v>
      </c>
      <c r="C335" t="s">
        <v>654</v>
      </c>
      <c r="D335" t="s">
        <v>18</v>
      </c>
      <c r="E335" t="s">
        <v>19</v>
      </c>
      <c r="F335" t="s">
        <v>20</v>
      </c>
      <c r="G335" t="s">
        <v>57</v>
      </c>
      <c r="H335" t="s">
        <v>130</v>
      </c>
      <c r="I335">
        <v>3</v>
      </c>
      <c r="J335">
        <v>109.99</v>
      </c>
      <c r="K335">
        <v>0.15</v>
      </c>
      <c r="L335" t="s">
        <v>23</v>
      </c>
      <c r="M335">
        <v>329.97</v>
      </c>
      <c r="N335">
        <v>49.5</v>
      </c>
      <c r="O335">
        <v>280.47000000000003</v>
      </c>
    </row>
    <row r="336" spans="1:15" x14ac:dyDescent="0.3">
      <c r="A336" t="s">
        <v>802</v>
      </c>
      <c r="B336" t="s">
        <v>803</v>
      </c>
      <c r="C336" t="s">
        <v>453</v>
      </c>
      <c r="D336" t="s">
        <v>18</v>
      </c>
      <c r="E336" t="s">
        <v>19</v>
      </c>
      <c r="F336" t="s">
        <v>20</v>
      </c>
      <c r="G336" t="s">
        <v>74</v>
      </c>
      <c r="H336" t="s">
        <v>143</v>
      </c>
      <c r="I336">
        <v>4</v>
      </c>
      <c r="J336">
        <v>99.99</v>
      </c>
      <c r="K336">
        <v>0.1</v>
      </c>
      <c r="L336" t="s">
        <v>37</v>
      </c>
      <c r="M336">
        <v>399.96</v>
      </c>
      <c r="N336">
        <v>40</v>
      </c>
      <c r="O336">
        <v>359.96</v>
      </c>
    </row>
    <row r="337" spans="1:15" x14ac:dyDescent="0.3">
      <c r="A337" t="s">
        <v>804</v>
      </c>
      <c r="B337" t="s">
        <v>805</v>
      </c>
      <c r="C337" t="s">
        <v>806</v>
      </c>
      <c r="D337" t="s">
        <v>51</v>
      </c>
      <c r="E337" t="s">
        <v>108</v>
      </c>
      <c r="F337" t="s">
        <v>34</v>
      </c>
      <c r="G337" t="s">
        <v>21</v>
      </c>
      <c r="H337" t="s">
        <v>22</v>
      </c>
      <c r="I337">
        <v>1</v>
      </c>
      <c r="J337">
        <v>89.99</v>
      </c>
      <c r="K337">
        <v>0</v>
      </c>
      <c r="L337" t="s">
        <v>37</v>
      </c>
      <c r="M337">
        <v>89.99</v>
      </c>
      <c r="N337">
        <v>0</v>
      </c>
      <c r="O337">
        <v>89.99</v>
      </c>
    </row>
    <row r="338" spans="1:15" x14ac:dyDescent="0.3">
      <c r="A338" t="s">
        <v>807</v>
      </c>
      <c r="B338" t="s">
        <v>808</v>
      </c>
      <c r="C338" t="s">
        <v>418</v>
      </c>
      <c r="D338" t="s">
        <v>51</v>
      </c>
      <c r="E338" t="s">
        <v>108</v>
      </c>
      <c r="F338" t="s">
        <v>20</v>
      </c>
      <c r="G338" t="s">
        <v>74</v>
      </c>
      <c r="H338" t="s">
        <v>112</v>
      </c>
      <c r="I338">
        <v>5</v>
      </c>
      <c r="J338">
        <v>129.99</v>
      </c>
      <c r="K338">
        <v>0.15</v>
      </c>
      <c r="L338" t="s">
        <v>37</v>
      </c>
      <c r="M338">
        <v>649.95000000000005</v>
      </c>
      <c r="N338">
        <v>97.49</v>
      </c>
      <c r="O338">
        <v>552.46</v>
      </c>
    </row>
    <row r="339" spans="1:15" x14ac:dyDescent="0.3">
      <c r="A339" t="s">
        <v>809</v>
      </c>
      <c r="B339" t="s">
        <v>810</v>
      </c>
      <c r="C339" t="s">
        <v>534</v>
      </c>
      <c r="D339" t="s">
        <v>18</v>
      </c>
      <c r="E339" t="s">
        <v>56</v>
      </c>
      <c r="F339" t="s">
        <v>20</v>
      </c>
      <c r="G339" t="s">
        <v>35</v>
      </c>
      <c r="H339" t="s">
        <v>36</v>
      </c>
      <c r="I339">
        <v>1</v>
      </c>
      <c r="J339">
        <v>79.989999999999995</v>
      </c>
      <c r="K339">
        <v>0.1</v>
      </c>
      <c r="L339" t="s">
        <v>47</v>
      </c>
      <c r="M339">
        <v>79.989999999999995</v>
      </c>
      <c r="N339">
        <v>8</v>
      </c>
      <c r="O339">
        <v>71.989999999999995</v>
      </c>
    </row>
    <row r="340" spans="1:15" x14ac:dyDescent="0.3">
      <c r="A340" t="s">
        <v>811</v>
      </c>
      <c r="B340" t="s">
        <v>812</v>
      </c>
      <c r="C340" t="s">
        <v>232</v>
      </c>
      <c r="D340" t="s">
        <v>72</v>
      </c>
      <c r="E340" t="s">
        <v>73</v>
      </c>
      <c r="F340" t="s">
        <v>20</v>
      </c>
      <c r="G340" t="s">
        <v>35</v>
      </c>
      <c r="H340" t="s">
        <v>199</v>
      </c>
      <c r="I340">
        <v>4</v>
      </c>
      <c r="J340">
        <v>99.99</v>
      </c>
      <c r="K340">
        <v>0</v>
      </c>
      <c r="L340" t="s">
        <v>23</v>
      </c>
      <c r="M340">
        <v>399.96</v>
      </c>
      <c r="N340">
        <v>0</v>
      </c>
      <c r="O340">
        <v>399.96</v>
      </c>
    </row>
    <row r="341" spans="1:15" x14ac:dyDescent="0.3">
      <c r="A341" t="s">
        <v>813</v>
      </c>
      <c r="B341" t="s">
        <v>814</v>
      </c>
      <c r="C341" t="s">
        <v>243</v>
      </c>
      <c r="D341" t="s">
        <v>51</v>
      </c>
      <c r="E341" t="s">
        <v>52</v>
      </c>
      <c r="F341" t="s">
        <v>34</v>
      </c>
      <c r="G341" t="s">
        <v>21</v>
      </c>
      <c r="H341" t="s">
        <v>87</v>
      </c>
      <c r="I341">
        <v>5</v>
      </c>
      <c r="J341">
        <v>149.99</v>
      </c>
      <c r="K341">
        <v>0</v>
      </c>
      <c r="L341" t="s">
        <v>37</v>
      </c>
      <c r="M341">
        <v>749.95</v>
      </c>
      <c r="N341">
        <v>0</v>
      </c>
      <c r="O341">
        <v>749.95</v>
      </c>
    </row>
    <row r="342" spans="1:15" x14ac:dyDescent="0.3">
      <c r="A342" t="s">
        <v>815</v>
      </c>
      <c r="B342" t="s">
        <v>302</v>
      </c>
      <c r="C342" t="s">
        <v>26</v>
      </c>
      <c r="D342" t="s">
        <v>51</v>
      </c>
      <c r="E342" t="s">
        <v>108</v>
      </c>
      <c r="F342" t="s">
        <v>20</v>
      </c>
      <c r="G342" t="s">
        <v>62</v>
      </c>
      <c r="H342" t="s">
        <v>79</v>
      </c>
      <c r="I342">
        <v>2</v>
      </c>
      <c r="J342">
        <v>249.99</v>
      </c>
      <c r="K342">
        <v>0</v>
      </c>
      <c r="L342" t="s">
        <v>37</v>
      </c>
      <c r="M342">
        <v>499.98</v>
      </c>
      <c r="N342">
        <v>0</v>
      </c>
      <c r="O342">
        <v>499.98</v>
      </c>
    </row>
    <row r="343" spans="1:15" x14ac:dyDescent="0.3">
      <c r="A343" t="s">
        <v>816</v>
      </c>
      <c r="B343" t="s">
        <v>817</v>
      </c>
      <c r="C343" t="s">
        <v>507</v>
      </c>
      <c r="D343" t="s">
        <v>27</v>
      </c>
      <c r="E343" t="s">
        <v>123</v>
      </c>
      <c r="F343" t="s">
        <v>20</v>
      </c>
      <c r="G343" t="s">
        <v>21</v>
      </c>
      <c r="H343" t="s">
        <v>87</v>
      </c>
      <c r="I343">
        <v>4</v>
      </c>
      <c r="J343">
        <v>149.99</v>
      </c>
      <c r="K343">
        <v>0.15</v>
      </c>
      <c r="L343" t="s">
        <v>47</v>
      </c>
      <c r="M343">
        <v>599.96</v>
      </c>
      <c r="N343">
        <v>89.99</v>
      </c>
      <c r="O343">
        <v>509.97</v>
      </c>
    </row>
    <row r="344" spans="1:15" x14ac:dyDescent="0.3">
      <c r="A344" t="s">
        <v>818</v>
      </c>
      <c r="B344" t="s">
        <v>121</v>
      </c>
      <c r="C344" t="s">
        <v>806</v>
      </c>
      <c r="D344" t="s">
        <v>27</v>
      </c>
      <c r="E344" t="s">
        <v>28</v>
      </c>
      <c r="F344" t="s">
        <v>20</v>
      </c>
      <c r="G344" t="s">
        <v>74</v>
      </c>
      <c r="H344" t="s">
        <v>75</v>
      </c>
      <c r="I344">
        <v>6</v>
      </c>
      <c r="J344">
        <v>299.99</v>
      </c>
      <c r="K344">
        <v>0</v>
      </c>
      <c r="L344" t="s">
        <v>23</v>
      </c>
      <c r="M344">
        <v>1799.94</v>
      </c>
      <c r="N344">
        <v>0</v>
      </c>
      <c r="O344">
        <v>1799.94</v>
      </c>
    </row>
    <row r="345" spans="1:15" x14ac:dyDescent="0.3">
      <c r="A345" t="s">
        <v>819</v>
      </c>
      <c r="B345" t="s">
        <v>570</v>
      </c>
      <c r="C345" t="s">
        <v>435</v>
      </c>
      <c r="D345" t="s">
        <v>27</v>
      </c>
      <c r="E345" t="s">
        <v>123</v>
      </c>
      <c r="F345" t="s">
        <v>34</v>
      </c>
      <c r="G345" t="s">
        <v>57</v>
      </c>
      <c r="H345" t="s">
        <v>130</v>
      </c>
      <c r="I345">
        <v>1</v>
      </c>
      <c r="J345">
        <v>109.99</v>
      </c>
      <c r="K345">
        <v>0.1</v>
      </c>
      <c r="L345" t="s">
        <v>80</v>
      </c>
      <c r="M345">
        <v>109.99</v>
      </c>
      <c r="N345">
        <v>11</v>
      </c>
      <c r="O345">
        <v>98.99</v>
      </c>
    </row>
    <row r="346" spans="1:15" x14ac:dyDescent="0.3">
      <c r="A346" t="s">
        <v>820</v>
      </c>
      <c r="B346" t="s">
        <v>821</v>
      </c>
      <c r="C346" t="s">
        <v>137</v>
      </c>
      <c r="D346" t="s">
        <v>72</v>
      </c>
      <c r="E346" t="s">
        <v>73</v>
      </c>
      <c r="F346" t="s">
        <v>34</v>
      </c>
      <c r="G346" t="s">
        <v>62</v>
      </c>
      <c r="H346" t="s">
        <v>124</v>
      </c>
      <c r="I346">
        <v>2</v>
      </c>
      <c r="J346">
        <v>399.99</v>
      </c>
      <c r="K346">
        <v>0</v>
      </c>
      <c r="L346" t="s">
        <v>23</v>
      </c>
      <c r="M346">
        <v>799.98</v>
      </c>
      <c r="N346">
        <v>0</v>
      </c>
      <c r="O346">
        <v>799.98</v>
      </c>
    </row>
    <row r="347" spans="1:15" x14ac:dyDescent="0.3">
      <c r="A347" t="s">
        <v>822</v>
      </c>
      <c r="B347" t="s">
        <v>823</v>
      </c>
      <c r="C347" t="s">
        <v>762</v>
      </c>
      <c r="D347" t="s">
        <v>72</v>
      </c>
      <c r="E347" t="s">
        <v>152</v>
      </c>
      <c r="F347" t="s">
        <v>20</v>
      </c>
      <c r="G347" t="s">
        <v>57</v>
      </c>
      <c r="H347" t="s">
        <v>189</v>
      </c>
      <c r="I347">
        <v>2</v>
      </c>
      <c r="J347">
        <v>119.99</v>
      </c>
      <c r="K347">
        <v>0</v>
      </c>
      <c r="L347" t="s">
        <v>47</v>
      </c>
      <c r="M347">
        <v>239.98</v>
      </c>
      <c r="N347">
        <v>0</v>
      </c>
      <c r="O347">
        <v>239.98</v>
      </c>
    </row>
    <row r="348" spans="1:15" x14ac:dyDescent="0.3">
      <c r="A348" t="s">
        <v>824</v>
      </c>
      <c r="B348" t="s">
        <v>264</v>
      </c>
      <c r="C348" t="s">
        <v>794</v>
      </c>
      <c r="D348" t="s">
        <v>72</v>
      </c>
      <c r="E348" t="s">
        <v>152</v>
      </c>
      <c r="F348" t="s">
        <v>34</v>
      </c>
      <c r="G348" t="s">
        <v>21</v>
      </c>
      <c r="H348" t="s">
        <v>68</v>
      </c>
      <c r="I348">
        <v>3</v>
      </c>
      <c r="J348">
        <v>129.99</v>
      </c>
      <c r="K348">
        <v>0.05</v>
      </c>
      <c r="L348" t="s">
        <v>47</v>
      </c>
      <c r="M348">
        <v>389.97</v>
      </c>
      <c r="N348">
        <v>19.5</v>
      </c>
      <c r="O348">
        <v>370.47</v>
      </c>
    </row>
    <row r="349" spans="1:15" x14ac:dyDescent="0.3">
      <c r="A349" t="s">
        <v>825</v>
      </c>
      <c r="B349" t="s">
        <v>85</v>
      </c>
      <c r="C349" t="s">
        <v>657</v>
      </c>
      <c r="D349" t="s">
        <v>72</v>
      </c>
      <c r="E349" t="s">
        <v>152</v>
      </c>
      <c r="F349" t="s">
        <v>34</v>
      </c>
      <c r="G349" t="s">
        <v>74</v>
      </c>
      <c r="H349" t="s">
        <v>75</v>
      </c>
      <c r="I349">
        <v>1</v>
      </c>
      <c r="J349">
        <v>299.99</v>
      </c>
      <c r="K349">
        <v>0</v>
      </c>
      <c r="L349" t="s">
        <v>80</v>
      </c>
      <c r="M349">
        <v>299.99</v>
      </c>
      <c r="N349">
        <v>0</v>
      </c>
      <c r="O349">
        <v>299.99</v>
      </c>
    </row>
    <row r="350" spans="1:15" x14ac:dyDescent="0.3">
      <c r="A350" t="s">
        <v>826</v>
      </c>
      <c r="B350" t="s">
        <v>827</v>
      </c>
      <c r="C350" t="s">
        <v>734</v>
      </c>
      <c r="D350" t="s">
        <v>51</v>
      </c>
      <c r="E350" t="s">
        <v>108</v>
      </c>
      <c r="F350" t="s">
        <v>20</v>
      </c>
      <c r="G350" t="s">
        <v>35</v>
      </c>
      <c r="H350" t="s">
        <v>134</v>
      </c>
      <c r="I350">
        <v>6</v>
      </c>
      <c r="J350">
        <v>139.99</v>
      </c>
      <c r="K350">
        <v>0</v>
      </c>
      <c r="L350" t="s">
        <v>37</v>
      </c>
      <c r="M350">
        <v>839.94</v>
      </c>
      <c r="N350">
        <v>0</v>
      </c>
      <c r="O350">
        <v>839.94</v>
      </c>
    </row>
    <row r="351" spans="1:15" x14ac:dyDescent="0.3">
      <c r="A351" t="s">
        <v>828</v>
      </c>
      <c r="B351" t="s">
        <v>829</v>
      </c>
      <c r="C351" t="s">
        <v>117</v>
      </c>
      <c r="D351" t="s">
        <v>27</v>
      </c>
      <c r="E351" t="s">
        <v>67</v>
      </c>
      <c r="F351" t="s">
        <v>20</v>
      </c>
      <c r="G351" t="s">
        <v>57</v>
      </c>
      <c r="H351" t="s">
        <v>58</v>
      </c>
      <c r="I351">
        <v>4</v>
      </c>
      <c r="J351">
        <v>89.99</v>
      </c>
      <c r="K351">
        <v>0.1</v>
      </c>
      <c r="L351" t="s">
        <v>23</v>
      </c>
      <c r="M351">
        <v>359.96</v>
      </c>
      <c r="N351">
        <v>36</v>
      </c>
      <c r="O351">
        <v>323.95999999999998</v>
      </c>
    </row>
    <row r="352" spans="1:15" x14ac:dyDescent="0.3">
      <c r="A352" t="s">
        <v>830</v>
      </c>
      <c r="B352" t="s">
        <v>384</v>
      </c>
      <c r="C352" t="s">
        <v>577</v>
      </c>
      <c r="D352" t="s">
        <v>27</v>
      </c>
      <c r="E352" t="s">
        <v>28</v>
      </c>
      <c r="F352" t="s">
        <v>34</v>
      </c>
      <c r="G352" t="s">
        <v>21</v>
      </c>
      <c r="H352" t="s">
        <v>68</v>
      </c>
      <c r="I352">
        <v>1</v>
      </c>
      <c r="J352">
        <v>129.99</v>
      </c>
      <c r="K352">
        <v>0</v>
      </c>
      <c r="L352" t="s">
        <v>37</v>
      </c>
      <c r="M352">
        <v>129.99</v>
      </c>
      <c r="N352">
        <v>0</v>
      </c>
      <c r="O352">
        <v>129.99</v>
      </c>
    </row>
    <row r="353" spans="1:15" x14ac:dyDescent="0.3">
      <c r="A353" t="s">
        <v>831</v>
      </c>
      <c r="B353" t="s">
        <v>832</v>
      </c>
      <c r="C353" t="s">
        <v>312</v>
      </c>
      <c r="D353" t="s">
        <v>27</v>
      </c>
      <c r="E353" t="s">
        <v>28</v>
      </c>
      <c r="F353" t="s">
        <v>20</v>
      </c>
      <c r="G353" t="s">
        <v>21</v>
      </c>
      <c r="H353" t="s">
        <v>87</v>
      </c>
      <c r="I353">
        <v>1</v>
      </c>
      <c r="J353">
        <v>149.99</v>
      </c>
      <c r="K353">
        <v>0</v>
      </c>
      <c r="L353" t="s">
        <v>80</v>
      </c>
      <c r="M353">
        <v>149.99</v>
      </c>
      <c r="N353">
        <v>0</v>
      </c>
      <c r="O353">
        <v>149.99</v>
      </c>
    </row>
    <row r="354" spans="1:15" x14ac:dyDescent="0.3">
      <c r="A354" t="s">
        <v>833</v>
      </c>
      <c r="B354" t="s">
        <v>600</v>
      </c>
      <c r="C354" t="s">
        <v>340</v>
      </c>
      <c r="D354" t="s">
        <v>27</v>
      </c>
      <c r="E354" t="s">
        <v>67</v>
      </c>
      <c r="F354" t="s">
        <v>34</v>
      </c>
      <c r="G354" t="s">
        <v>57</v>
      </c>
      <c r="H354" t="s">
        <v>300</v>
      </c>
      <c r="I354">
        <v>1</v>
      </c>
      <c r="J354">
        <v>179.99</v>
      </c>
      <c r="K354">
        <v>0</v>
      </c>
      <c r="L354" t="s">
        <v>23</v>
      </c>
      <c r="M354">
        <v>179.99</v>
      </c>
      <c r="N354">
        <v>0</v>
      </c>
      <c r="O354">
        <v>179.99</v>
      </c>
    </row>
    <row r="355" spans="1:15" x14ac:dyDescent="0.3">
      <c r="A355" t="s">
        <v>834</v>
      </c>
      <c r="B355" t="s">
        <v>614</v>
      </c>
      <c r="C355" t="s">
        <v>835</v>
      </c>
      <c r="D355" t="s">
        <v>72</v>
      </c>
      <c r="E355" t="s">
        <v>73</v>
      </c>
      <c r="F355" t="s">
        <v>34</v>
      </c>
      <c r="G355" t="s">
        <v>21</v>
      </c>
      <c r="H355" t="s">
        <v>46</v>
      </c>
      <c r="I355">
        <v>3</v>
      </c>
      <c r="J355">
        <v>119.99</v>
      </c>
      <c r="K355">
        <v>0</v>
      </c>
      <c r="L355" t="s">
        <v>23</v>
      </c>
      <c r="M355">
        <v>359.97</v>
      </c>
      <c r="N355">
        <v>0</v>
      </c>
      <c r="O355">
        <v>359.97</v>
      </c>
    </row>
    <row r="356" spans="1:15" x14ac:dyDescent="0.3">
      <c r="A356" t="s">
        <v>836</v>
      </c>
      <c r="B356" t="s">
        <v>837</v>
      </c>
      <c r="C356" t="s">
        <v>838</v>
      </c>
      <c r="D356" t="s">
        <v>32</v>
      </c>
      <c r="E356" t="s">
        <v>45</v>
      </c>
      <c r="F356" t="s">
        <v>34</v>
      </c>
      <c r="G356" t="s">
        <v>35</v>
      </c>
      <c r="H356" t="s">
        <v>199</v>
      </c>
      <c r="I356">
        <v>6</v>
      </c>
      <c r="J356">
        <v>99.99</v>
      </c>
      <c r="K356">
        <v>0</v>
      </c>
      <c r="L356" t="s">
        <v>80</v>
      </c>
      <c r="M356">
        <v>599.94000000000005</v>
      </c>
      <c r="N356">
        <v>0</v>
      </c>
      <c r="O356">
        <v>599.94000000000005</v>
      </c>
    </row>
    <row r="357" spans="1:15" x14ac:dyDescent="0.3">
      <c r="A357" t="s">
        <v>839</v>
      </c>
      <c r="B357" t="s">
        <v>447</v>
      </c>
      <c r="C357" t="s">
        <v>420</v>
      </c>
      <c r="D357" t="s">
        <v>72</v>
      </c>
      <c r="E357" t="s">
        <v>73</v>
      </c>
      <c r="F357" t="s">
        <v>20</v>
      </c>
      <c r="G357" t="s">
        <v>21</v>
      </c>
      <c r="H357" t="s">
        <v>87</v>
      </c>
      <c r="I357">
        <v>4</v>
      </c>
      <c r="J357">
        <v>149.99</v>
      </c>
      <c r="K357">
        <v>0</v>
      </c>
      <c r="L357" t="s">
        <v>80</v>
      </c>
      <c r="M357">
        <v>599.96</v>
      </c>
      <c r="N357">
        <v>0</v>
      </c>
      <c r="O357">
        <v>599.96</v>
      </c>
    </row>
    <row r="358" spans="1:15" x14ac:dyDescent="0.3">
      <c r="A358" t="s">
        <v>840</v>
      </c>
      <c r="B358" t="s">
        <v>348</v>
      </c>
      <c r="C358" t="s">
        <v>841</v>
      </c>
      <c r="D358" t="s">
        <v>18</v>
      </c>
      <c r="E358" t="s">
        <v>56</v>
      </c>
      <c r="F358" t="s">
        <v>34</v>
      </c>
      <c r="G358" t="s">
        <v>74</v>
      </c>
      <c r="H358" t="s">
        <v>143</v>
      </c>
      <c r="I358">
        <v>5</v>
      </c>
      <c r="J358">
        <v>99.99</v>
      </c>
      <c r="K358">
        <v>0.05</v>
      </c>
      <c r="L358" t="s">
        <v>23</v>
      </c>
      <c r="M358">
        <v>499.95</v>
      </c>
      <c r="N358">
        <v>25</v>
      </c>
      <c r="O358">
        <v>474.95</v>
      </c>
    </row>
    <row r="359" spans="1:15" x14ac:dyDescent="0.3">
      <c r="A359" t="s">
        <v>842</v>
      </c>
      <c r="B359" t="s">
        <v>843</v>
      </c>
      <c r="C359" t="s">
        <v>690</v>
      </c>
      <c r="D359" t="s">
        <v>27</v>
      </c>
      <c r="E359" t="s">
        <v>67</v>
      </c>
      <c r="F359" t="s">
        <v>34</v>
      </c>
      <c r="G359" t="s">
        <v>57</v>
      </c>
      <c r="H359" t="s">
        <v>58</v>
      </c>
      <c r="I359">
        <v>5</v>
      </c>
      <c r="J359">
        <v>89.99</v>
      </c>
      <c r="K359">
        <v>0</v>
      </c>
      <c r="L359" t="s">
        <v>80</v>
      </c>
      <c r="M359">
        <v>449.95</v>
      </c>
      <c r="N359">
        <v>0</v>
      </c>
      <c r="O359">
        <v>449.95</v>
      </c>
    </row>
    <row r="360" spans="1:15" x14ac:dyDescent="0.3">
      <c r="A360" t="s">
        <v>844</v>
      </c>
      <c r="B360" t="s">
        <v>70</v>
      </c>
      <c r="C360" t="s">
        <v>845</v>
      </c>
      <c r="D360" t="s">
        <v>18</v>
      </c>
      <c r="E360" t="s">
        <v>19</v>
      </c>
      <c r="F360" t="s">
        <v>20</v>
      </c>
      <c r="G360" t="s">
        <v>74</v>
      </c>
      <c r="H360" t="s">
        <v>143</v>
      </c>
      <c r="I360">
        <v>2</v>
      </c>
      <c r="J360">
        <v>99.99</v>
      </c>
      <c r="K360">
        <v>0</v>
      </c>
      <c r="L360" t="s">
        <v>37</v>
      </c>
      <c r="M360">
        <v>199.98</v>
      </c>
      <c r="N360">
        <v>0</v>
      </c>
      <c r="O360">
        <v>199.98</v>
      </c>
    </row>
    <row r="361" spans="1:15" x14ac:dyDescent="0.3">
      <c r="A361" t="s">
        <v>846</v>
      </c>
      <c r="B361" t="s">
        <v>168</v>
      </c>
      <c r="C361" t="s">
        <v>352</v>
      </c>
      <c r="D361" t="s">
        <v>51</v>
      </c>
      <c r="E361" t="s">
        <v>52</v>
      </c>
      <c r="F361" t="s">
        <v>34</v>
      </c>
      <c r="G361" t="s">
        <v>62</v>
      </c>
      <c r="H361" t="s">
        <v>124</v>
      </c>
      <c r="I361">
        <v>3</v>
      </c>
      <c r="J361">
        <v>399.99</v>
      </c>
      <c r="K361">
        <v>0</v>
      </c>
      <c r="L361" t="s">
        <v>37</v>
      </c>
      <c r="M361">
        <v>1199.97</v>
      </c>
      <c r="N361">
        <v>0</v>
      </c>
      <c r="O361">
        <v>1199.97</v>
      </c>
    </row>
    <row r="362" spans="1:15" x14ac:dyDescent="0.3">
      <c r="A362" t="s">
        <v>847</v>
      </c>
      <c r="B362" t="s">
        <v>77</v>
      </c>
      <c r="C362" t="s">
        <v>385</v>
      </c>
      <c r="D362" t="s">
        <v>18</v>
      </c>
      <c r="E362" t="s">
        <v>19</v>
      </c>
      <c r="F362" t="s">
        <v>34</v>
      </c>
      <c r="G362" t="s">
        <v>62</v>
      </c>
      <c r="H362" t="s">
        <v>124</v>
      </c>
      <c r="I362">
        <v>5</v>
      </c>
      <c r="J362">
        <v>399.99</v>
      </c>
      <c r="K362">
        <v>0</v>
      </c>
      <c r="L362" t="s">
        <v>47</v>
      </c>
      <c r="M362">
        <v>1999.95</v>
      </c>
      <c r="N362">
        <v>0</v>
      </c>
      <c r="O362">
        <v>1999.95</v>
      </c>
    </row>
    <row r="363" spans="1:15" x14ac:dyDescent="0.3">
      <c r="A363" t="s">
        <v>848</v>
      </c>
      <c r="B363" t="s">
        <v>849</v>
      </c>
      <c r="C363" t="s">
        <v>565</v>
      </c>
      <c r="D363" t="s">
        <v>27</v>
      </c>
      <c r="E363" t="s">
        <v>28</v>
      </c>
      <c r="F363" t="s">
        <v>34</v>
      </c>
      <c r="G363" t="s">
        <v>74</v>
      </c>
      <c r="H363" t="s">
        <v>112</v>
      </c>
      <c r="I363">
        <v>2</v>
      </c>
      <c r="J363">
        <v>129.99</v>
      </c>
      <c r="K363">
        <v>0.1</v>
      </c>
      <c r="L363" t="s">
        <v>80</v>
      </c>
      <c r="M363">
        <v>259.98</v>
      </c>
      <c r="N363">
        <v>26</v>
      </c>
      <c r="O363">
        <v>233.98</v>
      </c>
    </row>
    <row r="364" spans="1:15" x14ac:dyDescent="0.3">
      <c r="A364" t="s">
        <v>850</v>
      </c>
      <c r="B364" t="s">
        <v>851</v>
      </c>
      <c r="C364" t="s">
        <v>133</v>
      </c>
      <c r="D364" t="s">
        <v>51</v>
      </c>
      <c r="E364" t="s">
        <v>52</v>
      </c>
      <c r="F364" t="s">
        <v>20</v>
      </c>
      <c r="G364" t="s">
        <v>57</v>
      </c>
      <c r="H364" t="s">
        <v>58</v>
      </c>
      <c r="I364">
        <v>6</v>
      </c>
      <c r="J364">
        <v>89.99</v>
      </c>
      <c r="K364">
        <v>0</v>
      </c>
      <c r="L364" t="s">
        <v>47</v>
      </c>
      <c r="M364">
        <v>539.94000000000005</v>
      </c>
      <c r="N364">
        <v>0</v>
      </c>
      <c r="O364">
        <v>539.94000000000005</v>
      </c>
    </row>
    <row r="365" spans="1:15" x14ac:dyDescent="0.3">
      <c r="A365" t="s">
        <v>852</v>
      </c>
      <c r="B365" t="s">
        <v>100</v>
      </c>
      <c r="C365" t="s">
        <v>598</v>
      </c>
      <c r="D365" t="s">
        <v>27</v>
      </c>
      <c r="E365" t="s">
        <v>123</v>
      </c>
      <c r="F365" t="s">
        <v>34</v>
      </c>
      <c r="G365" t="s">
        <v>62</v>
      </c>
      <c r="H365" t="s">
        <v>63</v>
      </c>
      <c r="I365">
        <v>3</v>
      </c>
      <c r="J365">
        <v>199.99</v>
      </c>
      <c r="K365">
        <v>0</v>
      </c>
      <c r="L365" t="s">
        <v>80</v>
      </c>
      <c r="M365">
        <v>599.97</v>
      </c>
      <c r="N365">
        <v>0</v>
      </c>
      <c r="O365">
        <v>599.97</v>
      </c>
    </row>
    <row r="366" spans="1:15" x14ac:dyDescent="0.3">
      <c r="A366" t="s">
        <v>853</v>
      </c>
      <c r="B366" t="s">
        <v>515</v>
      </c>
      <c r="C366" t="s">
        <v>491</v>
      </c>
      <c r="D366" t="s">
        <v>18</v>
      </c>
      <c r="E366" t="s">
        <v>19</v>
      </c>
      <c r="F366" t="s">
        <v>34</v>
      </c>
      <c r="G366" t="s">
        <v>57</v>
      </c>
      <c r="H366" t="s">
        <v>189</v>
      </c>
      <c r="I366">
        <v>2</v>
      </c>
      <c r="J366">
        <v>119.99</v>
      </c>
      <c r="K366">
        <v>0.15</v>
      </c>
      <c r="L366" t="s">
        <v>37</v>
      </c>
      <c r="M366">
        <v>239.98</v>
      </c>
      <c r="N366">
        <v>36</v>
      </c>
      <c r="O366">
        <v>203.98</v>
      </c>
    </row>
    <row r="367" spans="1:15" x14ac:dyDescent="0.3">
      <c r="A367" t="s">
        <v>854</v>
      </c>
      <c r="B367" t="s">
        <v>202</v>
      </c>
      <c r="C367" t="s">
        <v>44</v>
      </c>
      <c r="D367" t="s">
        <v>51</v>
      </c>
      <c r="E367" t="s">
        <v>108</v>
      </c>
      <c r="F367" t="s">
        <v>20</v>
      </c>
      <c r="G367" t="s">
        <v>35</v>
      </c>
      <c r="H367" t="s">
        <v>134</v>
      </c>
      <c r="I367">
        <v>4</v>
      </c>
      <c r="J367">
        <v>139.99</v>
      </c>
      <c r="K367">
        <v>0</v>
      </c>
      <c r="L367" t="s">
        <v>47</v>
      </c>
      <c r="M367">
        <v>559.96</v>
      </c>
      <c r="N367">
        <v>0</v>
      </c>
      <c r="O367">
        <v>559.96</v>
      </c>
    </row>
    <row r="368" spans="1:15" x14ac:dyDescent="0.3">
      <c r="A368" t="s">
        <v>855</v>
      </c>
      <c r="B368" t="s">
        <v>856</v>
      </c>
      <c r="C368" t="s">
        <v>294</v>
      </c>
      <c r="D368" t="s">
        <v>32</v>
      </c>
      <c r="E368" t="s">
        <v>45</v>
      </c>
      <c r="F368" t="s">
        <v>20</v>
      </c>
      <c r="G368" t="s">
        <v>21</v>
      </c>
      <c r="H368" t="s">
        <v>46</v>
      </c>
      <c r="I368">
        <v>2</v>
      </c>
      <c r="J368">
        <v>119.99</v>
      </c>
      <c r="K368">
        <v>0.1</v>
      </c>
      <c r="L368" t="s">
        <v>80</v>
      </c>
      <c r="M368">
        <v>239.98</v>
      </c>
      <c r="N368">
        <v>24</v>
      </c>
      <c r="O368">
        <v>215.98</v>
      </c>
    </row>
    <row r="369" spans="1:15" x14ac:dyDescent="0.3">
      <c r="A369" t="s">
        <v>857</v>
      </c>
      <c r="B369" t="s">
        <v>214</v>
      </c>
      <c r="C369" t="s">
        <v>546</v>
      </c>
      <c r="D369" t="s">
        <v>18</v>
      </c>
      <c r="E369" t="s">
        <v>19</v>
      </c>
      <c r="F369" t="s">
        <v>20</v>
      </c>
      <c r="G369" t="s">
        <v>74</v>
      </c>
      <c r="H369" t="s">
        <v>112</v>
      </c>
      <c r="I369">
        <v>2</v>
      </c>
      <c r="J369">
        <v>129.99</v>
      </c>
      <c r="K369">
        <v>0</v>
      </c>
      <c r="L369" t="s">
        <v>37</v>
      </c>
      <c r="M369">
        <v>259.98</v>
      </c>
      <c r="N369">
        <v>0</v>
      </c>
      <c r="O369">
        <v>259.98</v>
      </c>
    </row>
    <row r="370" spans="1:15" x14ac:dyDescent="0.3">
      <c r="A370" t="s">
        <v>858</v>
      </c>
      <c r="B370" t="s">
        <v>526</v>
      </c>
      <c r="C370" t="s">
        <v>523</v>
      </c>
      <c r="D370" t="s">
        <v>18</v>
      </c>
      <c r="E370" t="s">
        <v>19</v>
      </c>
      <c r="F370" t="s">
        <v>34</v>
      </c>
      <c r="G370" t="s">
        <v>74</v>
      </c>
      <c r="H370" t="s">
        <v>112</v>
      </c>
      <c r="I370">
        <v>2</v>
      </c>
      <c r="J370">
        <v>129.99</v>
      </c>
      <c r="K370">
        <v>0.15</v>
      </c>
      <c r="L370" t="s">
        <v>80</v>
      </c>
      <c r="M370">
        <v>259.98</v>
      </c>
      <c r="N370">
        <v>39</v>
      </c>
      <c r="O370">
        <v>220.98</v>
      </c>
    </row>
    <row r="371" spans="1:15" x14ac:dyDescent="0.3">
      <c r="A371" t="s">
        <v>859</v>
      </c>
      <c r="B371" t="s">
        <v>803</v>
      </c>
      <c r="C371" t="s">
        <v>420</v>
      </c>
      <c r="D371" t="s">
        <v>72</v>
      </c>
      <c r="E371" t="s">
        <v>152</v>
      </c>
      <c r="F371" t="s">
        <v>34</v>
      </c>
      <c r="G371" t="s">
        <v>21</v>
      </c>
      <c r="H371" t="s">
        <v>22</v>
      </c>
      <c r="I371">
        <v>6</v>
      </c>
      <c r="J371">
        <v>89.99</v>
      </c>
      <c r="K371">
        <v>0.05</v>
      </c>
      <c r="L371" t="s">
        <v>23</v>
      </c>
      <c r="M371">
        <v>539.94000000000005</v>
      </c>
      <c r="N371">
        <v>27</v>
      </c>
      <c r="O371">
        <v>512.94000000000005</v>
      </c>
    </row>
    <row r="372" spans="1:15" x14ac:dyDescent="0.3">
      <c r="A372" t="s">
        <v>860</v>
      </c>
      <c r="B372" t="s">
        <v>110</v>
      </c>
      <c r="C372" t="s">
        <v>612</v>
      </c>
      <c r="D372" t="s">
        <v>32</v>
      </c>
      <c r="E372" t="s">
        <v>33</v>
      </c>
      <c r="F372" t="s">
        <v>20</v>
      </c>
      <c r="G372" t="s">
        <v>74</v>
      </c>
      <c r="H372" t="s">
        <v>75</v>
      </c>
      <c r="I372">
        <v>1</v>
      </c>
      <c r="J372">
        <v>299.99</v>
      </c>
      <c r="K372">
        <v>0.05</v>
      </c>
      <c r="L372" t="s">
        <v>47</v>
      </c>
      <c r="M372">
        <v>299.99</v>
      </c>
      <c r="N372">
        <v>15</v>
      </c>
      <c r="O372">
        <v>284.99</v>
      </c>
    </row>
    <row r="373" spans="1:15" x14ac:dyDescent="0.3">
      <c r="A373" t="s">
        <v>861</v>
      </c>
      <c r="B373" t="s">
        <v>821</v>
      </c>
      <c r="C373" t="s">
        <v>862</v>
      </c>
      <c r="D373" t="s">
        <v>27</v>
      </c>
      <c r="E373" t="s">
        <v>67</v>
      </c>
      <c r="F373" t="s">
        <v>20</v>
      </c>
      <c r="G373" t="s">
        <v>74</v>
      </c>
      <c r="H373" t="s">
        <v>112</v>
      </c>
      <c r="I373">
        <v>1</v>
      </c>
      <c r="J373">
        <v>129.99</v>
      </c>
      <c r="K373">
        <v>0</v>
      </c>
      <c r="L373" t="s">
        <v>80</v>
      </c>
      <c r="M373">
        <v>129.99</v>
      </c>
      <c r="N373">
        <v>0</v>
      </c>
      <c r="O373">
        <v>129.99</v>
      </c>
    </row>
    <row r="374" spans="1:15" x14ac:dyDescent="0.3">
      <c r="A374" t="s">
        <v>863</v>
      </c>
      <c r="B374" t="s">
        <v>632</v>
      </c>
      <c r="C374" t="s">
        <v>710</v>
      </c>
      <c r="D374" t="s">
        <v>72</v>
      </c>
      <c r="E374" t="s">
        <v>73</v>
      </c>
      <c r="F374" t="s">
        <v>20</v>
      </c>
      <c r="G374" t="s">
        <v>57</v>
      </c>
      <c r="H374" t="s">
        <v>58</v>
      </c>
      <c r="I374">
        <v>6</v>
      </c>
      <c r="J374">
        <v>89.99</v>
      </c>
      <c r="K374">
        <v>0</v>
      </c>
      <c r="L374" t="s">
        <v>37</v>
      </c>
      <c r="M374">
        <v>539.94000000000005</v>
      </c>
      <c r="N374">
        <v>0</v>
      </c>
      <c r="O374">
        <v>539.94000000000005</v>
      </c>
    </row>
    <row r="375" spans="1:15" x14ac:dyDescent="0.3">
      <c r="A375" t="s">
        <v>864</v>
      </c>
      <c r="B375" t="s">
        <v>865</v>
      </c>
      <c r="C375" t="s">
        <v>516</v>
      </c>
      <c r="D375" t="s">
        <v>27</v>
      </c>
      <c r="E375" t="s">
        <v>67</v>
      </c>
      <c r="F375" t="s">
        <v>34</v>
      </c>
      <c r="G375" t="s">
        <v>62</v>
      </c>
      <c r="H375" t="s">
        <v>79</v>
      </c>
      <c r="I375">
        <v>6</v>
      </c>
      <c r="J375">
        <v>249.99</v>
      </c>
      <c r="K375">
        <v>0</v>
      </c>
      <c r="L375" t="s">
        <v>47</v>
      </c>
      <c r="M375">
        <v>1499.94</v>
      </c>
      <c r="N375">
        <v>0</v>
      </c>
      <c r="O375">
        <v>1499.94</v>
      </c>
    </row>
    <row r="376" spans="1:15" x14ac:dyDescent="0.3">
      <c r="A376" t="s">
        <v>866</v>
      </c>
      <c r="B376" t="s">
        <v>371</v>
      </c>
      <c r="C376" t="s">
        <v>188</v>
      </c>
      <c r="D376" t="s">
        <v>18</v>
      </c>
      <c r="E376" t="s">
        <v>19</v>
      </c>
      <c r="F376" t="s">
        <v>34</v>
      </c>
      <c r="G376" t="s">
        <v>21</v>
      </c>
      <c r="H376" t="s">
        <v>22</v>
      </c>
      <c r="I376">
        <v>2</v>
      </c>
      <c r="J376">
        <v>89.99</v>
      </c>
      <c r="K376">
        <v>0.05</v>
      </c>
      <c r="L376" t="s">
        <v>37</v>
      </c>
      <c r="M376">
        <v>179.98</v>
      </c>
      <c r="N376">
        <v>9</v>
      </c>
      <c r="O376">
        <v>170.98</v>
      </c>
    </row>
    <row r="377" spans="1:15" x14ac:dyDescent="0.3">
      <c r="A377" t="s">
        <v>867</v>
      </c>
      <c r="B377" t="s">
        <v>829</v>
      </c>
      <c r="C377" t="s">
        <v>868</v>
      </c>
      <c r="D377" t="s">
        <v>27</v>
      </c>
      <c r="E377" t="s">
        <v>28</v>
      </c>
      <c r="F377" t="s">
        <v>34</v>
      </c>
      <c r="G377" t="s">
        <v>57</v>
      </c>
      <c r="H377" t="s">
        <v>58</v>
      </c>
      <c r="I377">
        <v>4</v>
      </c>
      <c r="J377">
        <v>89.99</v>
      </c>
      <c r="K377">
        <v>0.1</v>
      </c>
      <c r="L377" t="s">
        <v>47</v>
      </c>
      <c r="M377">
        <v>359.96</v>
      </c>
      <c r="N377">
        <v>36</v>
      </c>
      <c r="O377">
        <v>323.95999999999998</v>
      </c>
    </row>
    <row r="378" spans="1:15" x14ac:dyDescent="0.3">
      <c r="A378" t="s">
        <v>869</v>
      </c>
      <c r="B378" t="s">
        <v>695</v>
      </c>
      <c r="C378" t="s">
        <v>654</v>
      </c>
      <c r="D378" t="s">
        <v>27</v>
      </c>
      <c r="E378" t="s">
        <v>67</v>
      </c>
      <c r="F378" t="s">
        <v>34</v>
      </c>
      <c r="G378" t="s">
        <v>21</v>
      </c>
      <c r="H378" t="s">
        <v>87</v>
      </c>
      <c r="I378">
        <v>1</v>
      </c>
      <c r="J378">
        <v>149.99</v>
      </c>
      <c r="K378">
        <v>0</v>
      </c>
      <c r="L378" t="s">
        <v>47</v>
      </c>
      <c r="M378">
        <v>149.99</v>
      </c>
      <c r="N378">
        <v>0</v>
      </c>
      <c r="O378">
        <v>149.99</v>
      </c>
    </row>
    <row r="379" spans="1:15" x14ac:dyDescent="0.3">
      <c r="A379" t="s">
        <v>870</v>
      </c>
      <c r="B379" t="s">
        <v>136</v>
      </c>
      <c r="C379" t="s">
        <v>111</v>
      </c>
      <c r="D379" t="s">
        <v>51</v>
      </c>
      <c r="E379" t="s">
        <v>108</v>
      </c>
      <c r="F379" t="s">
        <v>20</v>
      </c>
      <c r="G379" t="s">
        <v>21</v>
      </c>
      <c r="H379" t="s">
        <v>22</v>
      </c>
      <c r="I379">
        <v>6</v>
      </c>
      <c r="J379">
        <v>89.99</v>
      </c>
      <c r="K379">
        <v>0</v>
      </c>
      <c r="L379" t="s">
        <v>37</v>
      </c>
      <c r="M379">
        <v>539.94000000000005</v>
      </c>
      <c r="N379">
        <v>0</v>
      </c>
      <c r="O379">
        <v>539.94000000000005</v>
      </c>
    </row>
    <row r="380" spans="1:15" x14ac:dyDescent="0.3">
      <c r="A380" t="s">
        <v>871</v>
      </c>
      <c r="B380" t="s">
        <v>291</v>
      </c>
      <c r="C380" t="s">
        <v>460</v>
      </c>
      <c r="D380" t="s">
        <v>72</v>
      </c>
      <c r="E380" t="s">
        <v>152</v>
      </c>
      <c r="F380" t="s">
        <v>20</v>
      </c>
      <c r="G380" t="s">
        <v>74</v>
      </c>
      <c r="H380" t="s">
        <v>75</v>
      </c>
      <c r="I380">
        <v>1</v>
      </c>
      <c r="J380">
        <v>299.99</v>
      </c>
      <c r="K380">
        <v>0.15</v>
      </c>
      <c r="L380" t="s">
        <v>37</v>
      </c>
      <c r="M380">
        <v>299.99</v>
      </c>
      <c r="N380">
        <v>45</v>
      </c>
      <c r="O380">
        <v>254.99</v>
      </c>
    </row>
    <row r="381" spans="1:15" x14ac:dyDescent="0.3">
      <c r="A381" t="s">
        <v>872</v>
      </c>
      <c r="B381" t="s">
        <v>752</v>
      </c>
      <c r="C381" t="s">
        <v>83</v>
      </c>
      <c r="D381" t="s">
        <v>51</v>
      </c>
      <c r="E381" t="s">
        <v>52</v>
      </c>
      <c r="F381" t="s">
        <v>34</v>
      </c>
      <c r="G381" t="s">
        <v>74</v>
      </c>
      <c r="H381" t="s">
        <v>75</v>
      </c>
      <c r="I381">
        <v>1</v>
      </c>
      <c r="J381">
        <v>299.99</v>
      </c>
      <c r="K381">
        <v>0</v>
      </c>
      <c r="L381" t="s">
        <v>47</v>
      </c>
      <c r="M381">
        <v>299.99</v>
      </c>
      <c r="N381">
        <v>0</v>
      </c>
      <c r="O381">
        <v>299.99</v>
      </c>
    </row>
    <row r="382" spans="1:15" x14ac:dyDescent="0.3">
      <c r="A382" t="s">
        <v>873</v>
      </c>
      <c r="B382" t="s">
        <v>348</v>
      </c>
      <c r="C382" t="s">
        <v>657</v>
      </c>
      <c r="D382" t="s">
        <v>51</v>
      </c>
      <c r="E382" t="s">
        <v>108</v>
      </c>
      <c r="F382" t="s">
        <v>34</v>
      </c>
      <c r="G382" t="s">
        <v>57</v>
      </c>
      <c r="H382" t="s">
        <v>300</v>
      </c>
      <c r="I382">
        <v>1</v>
      </c>
      <c r="J382">
        <v>179.99</v>
      </c>
      <c r="K382">
        <v>0.15</v>
      </c>
      <c r="L382" t="s">
        <v>47</v>
      </c>
      <c r="M382">
        <v>179.99</v>
      </c>
      <c r="N382">
        <v>27</v>
      </c>
      <c r="O382">
        <v>152.99</v>
      </c>
    </row>
    <row r="383" spans="1:15" x14ac:dyDescent="0.3">
      <c r="A383" t="s">
        <v>874</v>
      </c>
      <c r="B383" t="s">
        <v>875</v>
      </c>
      <c r="C383" t="s">
        <v>328</v>
      </c>
      <c r="D383" t="s">
        <v>72</v>
      </c>
      <c r="E383" t="s">
        <v>152</v>
      </c>
      <c r="F383" t="s">
        <v>20</v>
      </c>
      <c r="G383" t="s">
        <v>62</v>
      </c>
      <c r="H383" t="s">
        <v>124</v>
      </c>
      <c r="I383">
        <v>5</v>
      </c>
      <c r="J383">
        <v>399.99</v>
      </c>
      <c r="K383">
        <v>0.15</v>
      </c>
      <c r="L383" t="s">
        <v>23</v>
      </c>
      <c r="M383">
        <v>1999.95</v>
      </c>
      <c r="N383">
        <v>299.99</v>
      </c>
      <c r="O383">
        <v>1699.96</v>
      </c>
    </row>
    <row r="384" spans="1:15" x14ac:dyDescent="0.3">
      <c r="A384" t="s">
        <v>876</v>
      </c>
      <c r="B384" t="s">
        <v>877</v>
      </c>
      <c r="C384" t="s">
        <v>256</v>
      </c>
      <c r="D384" t="s">
        <v>72</v>
      </c>
      <c r="E384" t="s">
        <v>73</v>
      </c>
      <c r="F384" t="s">
        <v>20</v>
      </c>
      <c r="G384" t="s">
        <v>57</v>
      </c>
      <c r="H384" t="s">
        <v>300</v>
      </c>
      <c r="I384">
        <v>5</v>
      </c>
      <c r="J384">
        <v>179.99</v>
      </c>
      <c r="K384">
        <v>0.1</v>
      </c>
      <c r="L384" t="s">
        <v>80</v>
      </c>
      <c r="M384">
        <v>899.95</v>
      </c>
      <c r="N384">
        <v>90</v>
      </c>
      <c r="O384">
        <v>809.95</v>
      </c>
    </row>
    <row r="385" spans="1:15" x14ac:dyDescent="0.3">
      <c r="A385" t="s">
        <v>878</v>
      </c>
      <c r="B385" t="s">
        <v>431</v>
      </c>
      <c r="C385" t="s">
        <v>31</v>
      </c>
      <c r="D385" t="s">
        <v>51</v>
      </c>
      <c r="E385" t="s">
        <v>108</v>
      </c>
      <c r="F385" t="s">
        <v>20</v>
      </c>
      <c r="G385" t="s">
        <v>74</v>
      </c>
      <c r="H385" t="s">
        <v>112</v>
      </c>
      <c r="I385">
        <v>2</v>
      </c>
      <c r="J385">
        <v>129.99</v>
      </c>
      <c r="K385">
        <v>0</v>
      </c>
      <c r="L385" t="s">
        <v>23</v>
      </c>
      <c r="M385">
        <v>259.98</v>
      </c>
      <c r="N385">
        <v>0</v>
      </c>
      <c r="O385">
        <v>259.98</v>
      </c>
    </row>
    <row r="386" spans="1:15" x14ac:dyDescent="0.3">
      <c r="A386" t="s">
        <v>879</v>
      </c>
      <c r="B386" t="s">
        <v>526</v>
      </c>
      <c r="C386" t="s">
        <v>880</v>
      </c>
      <c r="D386" t="s">
        <v>32</v>
      </c>
      <c r="E386" t="s">
        <v>33</v>
      </c>
      <c r="F386" t="s">
        <v>34</v>
      </c>
      <c r="G386" t="s">
        <v>35</v>
      </c>
      <c r="H386" t="s">
        <v>41</v>
      </c>
      <c r="I386">
        <v>3</v>
      </c>
      <c r="J386">
        <v>104.99</v>
      </c>
      <c r="K386">
        <v>0.15</v>
      </c>
      <c r="L386" t="s">
        <v>23</v>
      </c>
      <c r="M386">
        <v>314.97000000000003</v>
      </c>
      <c r="N386">
        <v>47.25</v>
      </c>
      <c r="O386">
        <v>267.72000000000003</v>
      </c>
    </row>
    <row r="387" spans="1:15" x14ac:dyDescent="0.3">
      <c r="A387" t="s">
        <v>881</v>
      </c>
      <c r="B387" t="s">
        <v>574</v>
      </c>
      <c r="C387" t="s">
        <v>349</v>
      </c>
      <c r="D387" t="s">
        <v>18</v>
      </c>
      <c r="E387" t="s">
        <v>56</v>
      </c>
      <c r="F387" t="s">
        <v>34</v>
      </c>
      <c r="G387" t="s">
        <v>62</v>
      </c>
      <c r="H387" t="s">
        <v>249</v>
      </c>
      <c r="I387">
        <v>1</v>
      </c>
      <c r="J387">
        <v>49.99</v>
      </c>
      <c r="K387">
        <v>0.15</v>
      </c>
      <c r="L387" t="s">
        <v>80</v>
      </c>
      <c r="M387">
        <v>49.99</v>
      </c>
      <c r="N387">
        <v>7.5</v>
      </c>
      <c r="O387">
        <v>42.49</v>
      </c>
    </row>
    <row r="388" spans="1:15" x14ac:dyDescent="0.3">
      <c r="A388" t="s">
        <v>882</v>
      </c>
      <c r="B388" t="s">
        <v>49</v>
      </c>
      <c r="C388" t="s">
        <v>883</v>
      </c>
      <c r="D388" t="s">
        <v>51</v>
      </c>
      <c r="E388" t="s">
        <v>108</v>
      </c>
      <c r="F388" t="s">
        <v>34</v>
      </c>
      <c r="G388" t="s">
        <v>74</v>
      </c>
      <c r="H388" t="s">
        <v>112</v>
      </c>
      <c r="I388">
        <v>1</v>
      </c>
      <c r="J388">
        <v>129.99</v>
      </c>
      <c r="K388">
        <v>0.1</v>
      </c>
      <c r="L388" t="s">
        <v>37</v>
      </c>
      <c r="M388">
        <v>129.99</v>
      </c>
      <c r="N388">
        <v>13</v>
      </c>
      <c r="O388">
        <v>116.99</v>
      </c>
    </row>
    <row r="389" spans="1:15" x14ac:dyDescent="0.3">
      <c r="A389" t="s">
        <v>884</v>
      </c>
      <c r="B389" t="s">
        <v>401</v>
      </c>
      <c r="C389" t="s">
        <v>163</v>
      </c>
      <c r="D389" t="s">
        <v>72</v>
      </c>
      <c r="E389" t="s">
        <v>152</v>
      </c>
      <c r="F389" t="s">
        <v>20</v>
      </c>
      <c r="G389" t="s">
        <v>74</v>
      </c>
      <c r="H389" t="s">
        <v>75</v>
      </c>
      <c r="I389">
        <v>5</v>
      </c>
      <c r="J389">
        <v>299.99</v>
      </c>
      <c r="K389">
        <v>0.1</v>
      </c>
      <c r="L389" t="s">
        <v>37</v>
      </c>
      <c r="M389">
        <v>1499.95</v>
      </c>
      <c r="N389">
        <v>150</v>
      </c>
      <c r="O389">
        <v>1349.95</v>
      </c>
    </row>
    <row r="390" spans="1:15" x14ac:dyDescent="0.3">
      <c r="A390" t="s">
        <v>885</v>
      </c>
      <c r="B390" t="s">
        <v>184</v>
      </c>
      <c r="C390" t="s">
        <v>61</v>
      </c>
      <c r="D390" t="s">
        <v>32</v>
      </c>
      <c r="E390" t="s">
        <v>33</v>
      </c>
      <c r="F390" t="s">
        <v>20</v>
      </c>
      <c r="G390" t="s">
        <v>74</v>
      </c>
      <c r="H390" t="s">
        <v>112</v>
      </c>
      <c r="I390">
        <v>1</v>
      </c>
      <c r="J390">
        <v>129.99</v>
      </c>
      <c r="K390">
        <v>0.05</v>
      </c>
      <c r="L390" t="s">
        <v>80</v>
      </c>
      <c r="M390">
        <v>129.99</v>
      </c>
      <c r="N390">
        <v>6.5</v>
      </c>
      <c r="O390">
        <v>123.49</v>
      </c>
    </row>
    <row r="391" spans="1:15" x14ac:dyDescent="0.3">
      <c r="A391" t="s">
        <v>886</v>
      </c>
      <c r="B391" t="s">
        <v>812</v>
      </c>
      <c r="C391" t="s">
        <v>887</v>
      </c>
      <c r="D391" t="s">
        <v>18</v>
      </c>
      <c r="E391" t="s">
        <v>19</v>
      </c>
      <c r="F391" t="s">
        <v>34</v>
      </c>
      <c r="G391" t="s">
        <v>74</v>
      </c>
      <c r="H391" t="s">
        <v>75</v>
      </c>
      <c r="I391">
        <v>3</v>
      </c>
      <c r="J391">
        <v>299.99</v>
      </c>
      <c r="K391">
        <v>0</v>
      </c>
      <c r="L391" t="s">
        <v>80</v>
      </c>
      <c r="M391">
        <v>899.97</v>
      </c>
      <c r="N391">
        <v>0</v>
      </c>
      <c r="O391">
        <v>899.97</v>
      </c>
    </row>
    <row r="392" spans="1:15" x14ac:dyDescent="0.3">
      <c r="A392" t="s">
        <v>888</v>
      </c>
      <c r="B392" t="s">
        <v>281</v>
      </c>
      <c r="C392" t="s">
        <v>889</v>
      </c>
      <c r="D392" t="s">
        <v>18</v>
      </c>
      <c r="E392" t="s">
        <v>56</v>
      </c>
      <c r="F392" t="s">
        <v>20</v>
      </c>
      <c r="G392" t="s">
        <v>35</v>
      </c>
      <c r="H392" t="s">
        <v>41</v>
      </c>
      <c r="I392">
        <v>3</v>
      </c>
      <c r="J392">
        <v>104.99</v>
      </c>
      <c r="K392">
        <v>0</v>
      </c>
      <c r="L392" t="s">
        <v>47</v>
      </c>
      <c r="M392">
        <v>314.97000000000003</v>
      </c>
      <c r="N392">
        <v>0</v>
      </c>
      <c r="O392">
        <v>314.97000000000003</v>
      </c>
    </row>
    <row r="393" spans="1:15" x14ac:dyDescent="0.3">
      <c r="A393" t="s">
        <v>890</v>
      </c>
      <c r="B393" t="s">
        <v>650</v>
      </c>
      <c r="C393" t="s">
        <v>107</v>
      </c>
      <c r="D393" t="s">
        <v>72</v>
      </c>
      <c r="E393" t="s">
        <v>152</v>
      </c>
      <c r="F393" t="s">
        <v>20</v>
      </c>
      <c r="G393" t="s">
        <v>74</v>
      </c>
      <c r="H393" t="s">
        <v>112</v>
      </c>
      <c r="I393">
        <v>5</v>
      </c>
      <c r="J393">
        <v>129.99</v>
      </c>
      <c r="K393">
        <v>0</v>
      </c>
      <c r="L393" t="s">
        <v>80</v>
      </c>
      <c r="M393">
        <v>649.95000000000005</v>
      </c>
      <c r="N393">
        <v>0</v>
      </c>
      <c r="O393">
        <v>649.95000000000005</v>
      </c>
    </row>
    <row r="394" spans="1:15" x14ac:dyDescent="0.3">
      <c r="A394" t="s">
        <v>891</v>
      </c>
      <c r="B394" t="s">
        <v>536</v>
      </c>
      <c r="C394" t="s">
        <v>892</v>
      </c>
      <c r="D394" t="s">
        <v>51</v>
      </c>
      <c r="E394" t="s">
        <v>108</v>
      </c>
      <c r="F394" t="s">
        <v>20</v>
      </c>
      <c r="G394" t="s">
        <v>57</v>
      </c>
      <c r="H394" t="s">
        <v>130</v>
      </c>
      <c r="I394">
        <v>2</v>
      </c>
      <c r="J394">
        <v>109.99</v>
      </c>
      <c r="K394">
        <v>0</v>
      </c>
      <c r="L394" t="s">
        <v>47</v>
      </c>
      <c r="M394">
        <v>219.98</v>
      </c>
      <c r="N394">
        <v>0</v>
      </c>
      <c r="O394">
        <v>219.98</v>
      </c>
    </row>
    <row r="395" spans="1:15" x14ac:dyDescent="0.3">
      <c r="A395" t="s">
        <v>893</v>
      </c>
      <c r="B395" t="s">
        <v>354</v>
      </c>
      <c r="C395" t="s">
        <v>453</v>
      </c>
      <c r="D395" t="s">
        <v>27</v>
      </c>
      <c r="E395" t="s">
        <v>67</v>
      </c>
      <c r="F395" t="s">
        <v>34</v>
      </c>
      <c r="G395" t="s">
        <v>21</v>
      </c>
      <c r="H395" t="s">
        <v>46</v>
      </c>
      <c r="I395">
        <v>6</v>
      </c>
      <c r="J395">
        <v>119.99</v>
      </c>
      <c r="K395">
        <v>0</v>
      </c>
      <c r="L395" t="s">
        <v>23</v>
      </c>
      <c r="M395">
        <v>719.94</v>
      </c>
      <c r="N395">
        <v>0</v>
      </c>
      <c r="O395">
        <v>719.94</v>
      </c>
    </row>
    <row r="396" spans="1:15" x14ac:dyDescent="0.3">
      <c r="A396" t="s">
        <v>894</v>
      </c>
      <c r="B396" t="s">
        <v>895</v>
      </c>
      <c r="C396" t="s">
        <v>896</v>
      </c>
      <c r="D396" t="s">
        <v>51</v>
      </c>
      <c r="E396" t="s">
        <v>52</v>
      </c>
      <c r="F396" t="s">
        <v>34</v>
      </c>
      <c r="G396" t="s">
        <v>21</v>
      </c>
      <c r="H396" t="s">
        <v>22</v>
      </c>
      <c r="I396">
        <v>4</v>
      </c>
      <c r="J396">
        <v>89.99</v>
      </c>
      <c r="K396">
        <v>0.1</v>
      </c>
      <c r="L396" t="s">
        <v>37</v>
      </c>
      <c r="M396">
        <v>359.96</v>
      </c>
      <c r="N396">
        <v>36</v>
      </c>
      <c r="O396">
        <v>323.95999999999998</v>
      </c>
    </row>
    <row r="397" spans="1:15" x14ac:dyDescent="0.3">
      <c r="A397" t="s">
        <v>897</v>
      </c>
      <c r="B397" t="s">
        <v>330</v>
      </c>
      <c r="C397" t="s">
        <v>568</v>
      </c>
      <c r="D397" t="s">
        <v>18</v>
      </c>
      <c r="E397" t="s">
        <v>19</v>
      </c>
      <c r="F397" t="s">
        <v>20</v>
      </c>
      <c r="G397" t="s">
        <v>57</v>
      </c>
      <c r="H397" t="s">
        <v>58</v>
      </c>
      <c r="I397">
        <v>3</v>
      </c>
      <c r="J397">
        <v>89.99</v>
      </c>
      <c r="K397">
        <v>0</v>
      </c>
      <c r="L397" t="s">
        <v>47</v>
      </c>
      <c r="M397">
        <v>269.97000000000003</v>
      </c>
      <c r="N397">
        <v>0</v>
      </c>
      <c r="O397">
        <v>269.97000000000003</v>
      </c>
    </row>
    <row r="398" spans="1:15" x14ac:dyDescent="0.3">
      <c r="A398" t="s">
        <v>898</v>
      </c>
      <c r="B398" t="s">
        <v>899</v>
      </c>
      <c r="C398" t="s">
        <v>565</v>
      </c>
      <c r="D398" t="s">
        <v>51</v>
      </c>
      <c r="E398" t="s">
        <v>52</v>
      </c>
      <c r="F398" t="s">
        <v>20</v>
      </c>
      <c r="G398" t="s">
        <v>35</v>
      </c>
      <c r="H398" t="s">
        <v>41</v>
      </c>
      <c r="I398">
        <v>6</v>
      </c>
      <c r="J398">
        <v>104.99</v>
      </c>
      <c r="K398">
        <v>0.05</v>
      </c>
      <c r="L398" t="s">
        <v>23</v>
      </c>
      <c r="M398">
        <v>629.94000000000005</v>
      </c>
      <c r="N398">
        <v>31.5</v>
      </c>
      <c r="O398">
        <v>598.44000000000005</v>
      </c>
    </row>
    <row r="399" spans="1:15" x14ac:dyDescent="0.3">
      <c r="A399" t="s">
        <v>900</v>
      </c>
      <c r="B399" t="s">
        <v>496</v>
      </c>
      <c r="C399" t="s">
        <v>657</v>
      </c>
      <c r="D399" t="s">
        <v>32</v>
      </c>
      <c r="E399" t="s">
        <v>45</v>
      </c>
      <c r="F399" t="s">
        <v>34</v>
      </c>
      <c r="G399" t="s">
        <v>35</v>
      </c>
      <c r="H399" t="s">
        <v>41</v>
      </c>
      <c r="I399">
        <v>2</v>
      </c>
      <c r="J399">
        <v>104.99</v>
      </c>
      <c r="K399">
        <v>0</v>
      </c>
      <c r="L399" t="s">
        <v>37</v>
      </c>
      <c r="M399">
        <v>209.98</v>
      </c>
      <c r="N399">
        <v>0</v>
      </c>
      <c r="O399">
        <v>209.98</v>
      </c>
    </row>
    <row r="400" spans="1:15" x14ac:dyDescent="0.3">
      <c r="A400" t="s">
        <v>901</v>
      </c>
      <c r="B400" t="s">
        <v>238</v>
      </c>
      <c r="C400" t="s">
        <v>663</v>
      </c>
      <c r="D400" t="s">
        <v>18</v>
      </c>
      <c r="E400" t="s">
        <v>56</v>
      </c>
      <c r="F400" t="s">
        <v>34</v>
      </c>
      <c r="G400" t="s">
        <v>74</v>
      </c>
      <c r="H400" t="s">
        <v>75</v>
      </c>
      <c r="I400">
        <v>3</v>
      </c>
      <c r="J400">
        <v>299.99</v>
      </c>
      <c r="K400">
        <v>0</v>
      </c>
      <c r="L400" t="s">
        <v>80</v>
      </c>
      <c r="M400">
        <v>899.97</v>
      </c>
      <c r="N400">
        <v>0</v>
      </c>
      <c r="O400">
        <v>899.97</v>
      </c>
    </row>
    <row r="401" spans="1:15" x14ac:dyDescent="0.3">
      <c r="A401" t="s">
        <v>902</v>
      </c>
      <c r="B401" t="s">
        <v>116</v>
      </c>
      <c r="C401" t="s">
        <v>325</v>
      </c>
      <c r="D401" t="s">
        <v>32</v>
      </c>
      <c r="E401" t="s">
        <v>33</v>
      </c>
      <c r="F401" t="s">
        <v>20</v>
      </c>
      <c r="G401" t="s">
        <v>21</v>
      </c>
      <c r="H401" t="s">
        <v>87</v>
      </c>
      <c r="I401">
        <v>3</v>
      </c>
      <c r="J401">
        <v>149.99</v>
      </c>
      <c r="K401">
        <v>0.15</v>
      </c>
      <c r="L401" t="s">
        <v>37</v>
      </c>
      <c r="M401">
        <v>449.97</v>
      </c>
      <c r="N401">
        <v>67.5</v>
      </c>
      <c r="O401">
        <v>382.47</v>
      </c>
    </row>
    <row r="402" spans="1:15" x14ac:dyDescent="0.3">
      <c r="A402" t="s">
        <v>903</v>
      </c>
      <c r="B402" t="s">
        <v>455</v>
      </c>
      <c r="C402" t="s">
        <v>904</v>
      </c>
      <c r="D402" t="s">
        <v>18</v>
      </c>
      <c r="E402" t="s">
        <v>56</v>
      </c>
      <c r="F402" t="s">
        <v>20</v>
      </c>
      <c r="G402" t="s">
        <v>57</v>
      </c>
      <c r="H402" t="s">
        <v>189</v>
      </c>
      <c r="I402">
        <v>6</v>
      </c>
      <c r="J402">
        <v>119.99</v>
      </c>
      <c r="K402">
        <v>0.15</v>
      </c>
      <c r="L402" t="s">
        <v>47</v>
      </c>
      <c r="M402">
        <v>719.94</v>
      </c>
      <c r="N402">
        <v>107.99</v>
      </c>
      <c r="O402">
        <v>611.95000000000005</v>
      </c>
    </row>
    <row r="403" spans="1:15" x14ac:dyDescent="0.3">
      <c r="A403" t="s">
        <v>905</v>
      </c>
      <c r="B403" t="s">
        <v>214</v>
      </c>
      <c r="C403" t="s">
        <v>575</v>
      </c>
      <c r="D403" t="s">
        <v>27</v>
      </c>
      <c r="E403" t="s">
        <v>123</v>
      </c>
      <c r="F403" t="s">
        <v>20</v>
      </c>
      <c r="G403" t="s">
        <v>62</v>
      </c>
      <c r="H403" t="s">
        <v>63</v>
      </c>
      <c r="I403">
        <v>4</v>
      </c>
      <c r="J403">
        <v>199.99</v>
      </c>
      <c r="K403">
        <v>0.15</v>
      </c>
      <c r="L403" t="s">
        <v>80</v>
      </c>
      <c r="M403">
        <v>799.96</v>
      </c>
      <c r="N403">
        <v>119.99</v>
      </c>
      <c r="O403">
        <v>679.97</v>
      </c>
    </row>
    <row r="404" spans="1:15" x14ac:dyDescent="0.3">
      <c r="A404" t="s">
        <v>906</v>
      </c>
      <c r="B404" t="s">
        <v>907</v>
      </c>
      <c r="C404" t="s">
        <v>908</v>
      </c>
      <c r="D404" t="s">
        <v>18</v>
      </c>
      <c r="E404" t="s">
        <v>56</v>
      </c>
      <c r="F404" t="s">
        <v>20</v>
      </c>
      <c r="G404" t="s">
        <v>74</v>
      </c>
      <c r="H404" t="s">
        <v>75</v>
      </c>
      <c r="I404">
        <v>4</v>
      </c>
      <c r="J404">
        <v>299.99</v>
      </c>
      <c r="K404">
        <v>0.05</v>
      </c>
      <c r="L404" t="s">
        <v>37</v>
      </c>
      <c r="M404">
        <v>1199.96</v>
      </c>
      <c r="N404">
        <v>60</v>
      </c>
      <c r="O404">
        <v>1139.96</v>
      </c>
    </row>
    <row r="405" spans="1:15" x14ac:dyDescent="0.3">
      <c r="A405" t="s">
        <v>909</v>
      </c>
      <c r="B405" t="s">
        <v>462</v>
      </c>
      <c r="C405" t="s">
        <v>469</v>
      </c>
      <c r="D405" t="s">
        <v>18</v>
      </c>
      <c r="E405" t="s">
        <v>56</v>
      </c>
      <c r="F405" t="s">
        <v>34</v>
      </c>
      <c r="G405" t="s">
        <v>35</v>
      </c>
      <c r="H405" t="s">
        <v>36</v>
      </c>
      <c r="I405">
        <v>2</v>
      </c>
      <c r="J405">
        <v>79.989999999999995</v>
      </c>
      <c r="K405">
        <v>0.15</v>
      </c>
      <c r="L405" t="s">
        <v>80</v>
      </c>
      <c r="M405">
        <v>159.97999999999999</v>
      </c>
      <c r="N405">
        <v>24</v>
      </c>
      <c r="O405">
        <v>135.97999999999999</v>
      </c>
    </row>
    <row r="406" spans="1:15" x14ac:dyDescent="0.3">
      <c r="A406" t="s">
        <v>910</v>
      </c>
      <c r="B406" t="s">
        <v>808</v>
      </c>
      <c r="C406" t="s">
        <v>880</v>
      </c>
      <c r="D406" t="s">
        <v>18</v>
      </c>
      <c r="E406" t="s">
        <v>19</v>
      </c>
      <c r="F406" t="s">
        <v>20</v>
      </c>
      <c r="G406" t="s">
        <v>74</v>
      </c>
      <c r="H406" t="s">
        <v>112</v>
      </c>
      <c r="I406">
        <v>6</v>
      </c>
      <c r="J406">
        <v>129.99</v>
      </c>
      <c r="K406">
        <v>0</v>
      </c>
      <c r="L406" t="s">
        <v>37</v>
      </c>
      <c r="M406">
        <v>779.94</v>
      </c>
      <c r="N406">
        <v>0</v>
      </c>
      <c r="O406">
        <v>779.94</v>
      </c>
    </row>
    <row r="407" spans="1:15" x14ac:dyDescent="0.3">
      <c r="A407" t="s">
        <v>911</v>
      </c>
      <c r="B407" t="s">
        <v>912</v>
      </c>
      <c r="C407" t="s">
        <v>44</v>
      </c>
      <c r="D407" t="s">
        <v>72</v>
      </c>
      <c r="E407" t="s">
        <v>152</v>
      </c>
      <c r="F407" t="s">
        <v>34</v>
      </c>
      <c r="G407" t="s">
        <v>35</v>
      </c>
      <c r="H407" t="s">
        <v>134</v>
      </c>
      <c r="I407">
        <v>3</v>
      </c>
      <c r="J407">
        <v>139.99</v>
      </c>
      <c r="K407">
        <v>0</v>
      </c>
      <c r="L407" t="s">
        <v>80</v>
      </c>
      <c r="M407">
        <v>419.97</v>
      </c>
      <c r="N407">
        <v>0</v>
      </c>
      <c r="O407">
        <v>419.97</v>
      </c>
    </row>
    <row r="408" spans="1:15" x14ac:dyDescent="0.3">
      <c r="A408" t="s">
        <v>913</v>
      </c>
      <c r="B408" t="s">
        <v>914</v>
      </c>
      <c r="C408" t="s">
        <v>534</v>
      </c>
      <c r="D408" t="s">
        <v>32</v>
      </c>
      <c r="E408" t="s">
        <v>45</v>
      </c>
      <c r="F408" t="s">
        <v>34</v>
      </c>
      <c r="G408" t="s">
        <v>74</v>
      </c>
      <c r="H408" t="s">
        <v>112</v>
      </c>
      <c r="I408">
        <v>4</v>
      </c>
      <c r="J408">
        <v>129.99</v>
      </c>
      <c r="K408">
        <v>0</v>
      </c>
      <c r="L408" t="s">
        <v>37</v>
      </c>
      <c r="M408">
        <v>519.96</v>
      </c>
      <c r="N408">
        <v>0</v>
      </c>
      <c r="O408">
        <v>519.96</v>
      </c>
    </row>
    <row r="409" spans="1:15" x14ac:dyDescent="0.3">
      <c r="A409" t="s">
        <v>915</v>
      </c>
      <c r="B409" t="s">
        <v>302</v>
      </c>
      <c r="C409" t="s">
        <v>254</v>
      </c>
      <c r="D409" t="s">
        <v>51</v>
      </c>
      <c r="E409" t="s">
        <v>108</v>
      </c>
      <c r="F409" t="s">
        <v>34</v>
      </c>
      <c r="G409" t="s">
        <v>74</v>
      </c>
      <c r="H409" t="s">
        <v>112</v>
      </c>
      <c r="I409">
        <v>2</v>
      </c>
      <c r="J409">
        <v>129.99</v>
      </c>
      <c r="K409">
        <v>0</v>
      </c>
      <c r="L409" t="s">
        <v>47</v>
      </c>
      <c r="M409">
        <v>259.98</v>
      </c>
      <c r="N409">
        <v>0</v>
      </c>
      <c r="O409">
        <v>259.98</v>
      </c>
    </row>
    <row r="410" spans="1:15" x14ac:dyDescent="0.3">
      <c r="A410" t="s">
        <v>916</v>
      </c>
      <c r="B410" t="s">
        <v>168</v>
      </c>
      <c r="C410" t="s">
        <v>531</v>
      </c>
      <c r="D410" t="s">
        <v>27</v>
      </c>
      <c r="E410" t="s">
        <v>67</v>
      </c>
      <c r="F410" t="s">
        <v>20</v>
      </c>
      <c r="G410" t="s">
        <v>57</v>
      </c>
      <c r="H410" t="s">
        <v>58</v>
      </c>
      <c r="I410">
        <v>3</v>
      </c>
      <c r="J410">
        <v>89.99</v>
      </c>
      <c r="K410">
        <v>0.15</v>
      </c>
      <c r="L410" t="s">
        <v>80</v>
      </c>
      <c r="M410">
        <v>269.97000000000003</v>
      </c>
      <c r="N410">
        <v>40.5</v>
      </c>
      <c r="O410">
        <v>229.47</v>
      </c>
    </row>
    <row r="411" spans="1:15" x14ac:dyDescent="0.3">
      <c r="A411" t="s">
        <v>917</v>
      </c>
      <c r="B411" t="s">
        <v>91</v>
      </c>
      <c r="C411" t="s">
        <v>883</v>
      </c>
      <c r="D411" t="s">
        <v>51</v>
      </c>
      <c r="E411" t="s">
        <v>108</v>
      </c>
      <c r="F411" t="s">
        <v>20</v>
      </c>
      <c r="G411" t="s">
        <v>74</v>
      </c>
      <c r="H411" t="s">
        <v>75</v>
      </c>
      <c r="I411">
        <v>5</v>
      </c>
      <c r="J411">
        <v>299.99</v>
      </c>
      <c r="K411">
        <v>0</v>
      </c>
      <c r="L411" t="s">
        <v>47</v>
      </c>
      <c r="M411">
        <v>1499.95</v>
      </c>
      <c r="N411">
        <v>0</v>
      </c>
      <c r="O411">
        <v>1499.95</v>
      </c>
    </row>
    <row r="412" spans="1:15" x14ac:dyDescent="0.3">
      <c r="A412" t="s">
        <v>918</v>
      </c>
      <c r="B412" t="s">
        <v>919</v>
      </c>
      <c r="C412" t="s">
        <v>203</v>
      </c>
      <c r="D412" t="s">
        <v>72</v>
      </c>
      <c r="E412" t="s">
        <v>152</v>
      </c>
      <c r="F412" t="s">
        <v>20</v>
      </c>
      <c r="G412" t="s">
        <v>62</v>
      </c>
      <c r="H412" t="s">
        <v>79</v>
      </c>
      <c r="I412">
        <v>4</v>
      </c>
      <c r="J412">
        <v>249.99</v>
      </c>
      <c r="K412">
        <v>0.05</v>
      </c>
      <c r="L412" t="s">
        <v>47</v>
      </c>
      <c r="M412">
        <v>999.96</v>
      </c>
      <c r="N412">
        <v>50</v>
      </c>
      <c r="O412">
        <v>949.96</v>
      </c>
    </row>
    <row r="413" spans="1:15" x14ac:dyDescent="0.3">
      <c r="A413" t="s">
        <v>920</v>
      </c>
      <c r="B413" t="s">
        <v>921</v>
      </c>
      <c r="C413" t="s">
        <v>654</v>
      </c>
      <c r="D413" t="s">
        <v>18</v>
      </c>
      <c r="E413" t="s">
        <v>19</v>
      </c>
      <c r="F413" t="s">
        <v>20</v>
      </c>
      <c r="G413" t="s">
        <v>57</v>
      </c>
      <c r="H413" t="s">
        <v>300</v>
      </c>
      <c r="I413">
        <v>1</v>
      </c>
      <c r="J413">
        <v>179.99</v>
      </c>
      <c r="K413">
        <v>0.15</v>
      </c>
      <c r="L413" t="s">
        <v>47</v>
      </c>
      <c r="M413">
        <v>179.99</v>
      </c>
      <c r="N413">
        <v>27</v>
      </c>
      <c r="O413">
        <v>152.99</v>
      </c>
    </row>
    <row r="414" spans="1:15" x14ac:dyDescent="0.3">
      <c r="A414" t="s">
        <v>922</v>
      </c>
      <c r="B414" t="s">
        <v>387</v>
      </c>
      <c r="C414" t="s">
        <v>923</v>
      </c>
      <c r="D414" t="s">
        <v>51</v>
      </c>
      <c r="E414" t="s">
        <v>108</v>
      </c>
      <c r="F414" t="s">
        <v>20</v>
      </c>
      <c r="G414" t="s">
        <v>57</v>
      </c>
      <c r="H414" t="s">
        <v>189</v>
      </c>
      <c r="I414">
        <v>4</v>
      </c>
      <c r="J414">
        <v>119.99</v>
      </c>
      <c r="K414">
        <v>0.1</v>
      </c>
      <c r="L414" t="s">
        <v>80</v>
      </c>
      <c r="M414">
        <v>479.96</v>
      </c>
      <c r="N414">
        <v>48</v>
      </c>
      <c r="O414">
        <v>431.96</v>
      </c>
    </row>
    <row r="415" spans="1:15" x14ac:dyDescent="0.3">
      <c r="A415" t="s">
        <v>924</v>
      </c>
      <c r="B415" t="s">
        <v>82</v>
      </c>
      <c r="C415" t="s">
        <v>332</v>
      </c>
      <c r="D415" t="s">
        <v>18</v>
      </c>
      <c r="E415" t="s">
        <v>56</v>
      </c>
      <c r="F415" t="s">
        <v>34</v>
      </c>
      <c r="G415" t="s">
        <v>21</v>
      </c>
      <c r="H415" t="s">
        <v>87</v>
      </c>
      <c r="I415">
        <v>6</v>
      </c>
      <c r="J415">
        <v>149.99</v>
      </c>
      <c r="K415">
        <v>0.1</v>
      </c>
      <c r="L415" t="s">
        <v>23</v>
      </c>
      <c r="M415">
        <v>899.94</v>
      </c>
      <c r="N415">
        <v>89.99</v>
      </c>
      <c r="O415">
        <v>809.95</v>
      </c>
    </row>
    <row r="416" spans="1:15" x14ac:dyDescent="0.3">
      <c r="A416" t="s">
        <v>925</v>
      </c>
      <c r="B416" t="s">
        <v>926</v>
      </c>
      <c r="C416" t="s">
        <v>92</v>
      </c>
      <c r="D416" t="s">
        <v>72</v>
      </c>
      <c r="E416" t="s">
        <v>152</v>
      </c>
      <c r="F416" t="s">
        <v>20</v>
      </c>
      <c r="G416" t="s">
        <v>35</v>
      </c>
      <c r="H416" t="s">
        <v>134</v>
      </c>
      <c r="I416">
        <v>2</v>
      </c>
      <c r="J416">
        <v>139.99</v>
      </c>
      <c r="K416">
        <v>0</v>
      </c>
      <c r="L416" t="s">
        <v>47</v>
      </c>
      <c r="M416">
        <v>279.98</v>
      </c>
      <c r="N416">
        <v>0</v>
      </c>
      <c r="O416">
        <v>279.98</v>
      </c>
    </row>
    <row r="417" spans="1:15" x14ac:dyDescent="0.3">
      <c r="A417" t="s">
        <v>927</v>
      </c>
      <c r="B417" t="s">
        <v>482</v>
      </c>
      <c r="C417" t="s">
        <v>928</v>
      </c>
      <c r="D417" t="s">
        <v>27</v>
      </c>
      <c r="E417" t="s">
        <v>123</v>
      </c>
      <c r="F417" t="s">
        <v>20</v>
      </c>
      <c r="G417" t="s">
        <v>35</v>
      </c>
      <c r="H417" t="s">
        <v>41</v>
      </c>
      <c r="I417">
        <v>5</v>
      </c>
      <c r="J417">
        <v>104.99</v>
      </c>
      <c r="K417">
        <v>0</v>
      </c>
      <c r="L417" t="s">
        <v>23</v>
      </c>
      <c r="M417">
        <v>524.95000000000005</v>
      </c>
      <c r="N417">
        <v>0</v>
      </c>
      <c r="O417">
        <v>524.95000000000005</v>
      </c>
    </row>
    <row r="418" spans="1:15" x14ac:dyDescent="0.3">
      <c r="A418" t="s">
        <v>929</v>
      </c>
      <c r="B418" t="s">
        <v>747</v>
      </c>
      <c r="C418" t="s">
        <v>892</v>
      </c>
      <c r="D418" t="s">
        <v>32</v>
      </c>
      <c r="E418" t="s">
        <v>45</v>
      </c>
      <c r="F418" t="s">
        <v>20</v>
      </c>
      <c r="G418" t="s">
        <v>57</v>
      </c>
      <c r="H418" t="s">
        <v>300</v>
      </c>
      <c r="I418">
        <v>6</v>
      </c>
      <c r="J418">
        <v>179.99</v>
      </c>
      <c r="K418">
        <v>0</v>
      </c>
      <c r="L418" t="s">
        <v>80</v>
      </c>
      <c r="M418">
        <v>1079.94</v>
      </c>
      <c r="N418">
        <v>0</v>
      </c>
      <c r="O418">
        <v>1079.94</v>
      </c>
    </row>
    <row r="419" spans="1:15" x14ac:dyDescent="0.3">
      <c r="A419" t="s">
        <v>930</v>
      </c>
      <c r="B419" t="s">
        <v>513</v>
      </c>
      <c r="C419" t="s">
        <v>111</v>
      </c>
      <c r="D419" t="s">
        <v>72</v>
      </c>
      <c r="E419" t="s">
        <v>152</v>
      </c>
      <c r="F419" t="s">
        <v>20</v>
      </c>
      <c r="G419" t="s">
        <v>21</v>
      </c>
      <c r="H419" t="s">
        <v>46</v>
      </c>
      <c r="I419">
        <v>1</v>
      </c>
      <c r="J419">
        <v>119.99</v>
      </c>
      <c r="K419">
        <v>0.1</v>
      </c>
      <c r="L419" t="s">
        <v>47</v>
      </c>
      <c r="M419">
        <v>119.99</v>
      </c>
      <c r="N419">
        <v>12</v>
      </c>
      <c r="O419">
        <v>107.99</v>
      </c>
    </row>
    <row r="420" spans="1:15" x14ac:dyDescent="0.3">
      <c r="A420" t="s">
        <v>931</v>
      </c>
      <c r="B420" t="s">
        <v>932</v>
      </c>
      <c r="C420" t="s">
        <v>185</v>
      </c>
      <c r="D420" t="s">
        <v>72</v>
      </c>
      <c r="E420" t="s">
        <v>73</v>
      </c>
      <c r="F420" t="s">
        <v>20</v>
      </c>
      <c r="G420" t="s">
        <v>21</v>
      </c>
      <c r="H420" t="s">
        <v>87</v>
      </c>
      <c r="I420">
        <v>6</v>
      </c>
      <c r="J420">
        <v>149.99</v>
      </c>
      <c r="K420">
        <v>0.1</v>
      </c>
      <c r="L420" t="s">
        <v>23</v>
      </c>
      <c r="M420">
        <v>899.94</v>
      </c>
      <c r="N420">
        <v>89.99</v>
      </c>
      <c r="O420">
        <v>809.95</v>
      </c>
    </row>
    <row r="421" spans="1:15" x14ac:dyDescent="0.3">
      <c r="A421" t="s">
        <v>933</v>
      </c>
      <c r="B421" t="s">
        <v>445</v>
      </c>
      <c r="C421" t="s">
        <v>282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>
        <v>1</v>
      </c>
      <c r="J421">
        <v>89.99</v>
      </c>
      <c r="K421">
        <v>0.05</v>
      </c>
      <c r="L421" t="s">
        <v>37</v>
      </c>
      <c r="M421">
        <v>89.99</v>
      </c>
      <c r="N421">
        <v>4.5</v>
      </c>
      <c r="O421">
        <v>85.49</v>
      </c>
    </row>
    <row r="422" spans="1:15" x14ac:dyDescent="0.3">
      <c r="A422" t="s">
        <v>934</v>
      </c>
      <c r="B422" t="s">
        <v>935</v>
      </c>
      <c r="C422" t="s">
        <v>936</v>
      </c>
      <c r="D422" t="s">
        <v>18</v>
      </c>
      <c r="E422" t="s">
        <v>56</v>
      </c>
      <c r="F422" t="s">
        <v>34</v>
      </c>
      <c r="G422" t="s">
        <v>62</v>
      </c>
      <c r="H422" t="s">
        <v>63</v>
      </c>
      <c r="I422">
        <v>3</v>
      </c>
      <c r="J422">
        <v>199.99</v>
      </c>
      <c r="K422">
        <v>0</v>
      </c>
      <c r="L422" t="s">
        <v>47</v>
      </c>
      <c r="M422">
        <v>599.97</v>
      </c>
      <c r="N422">
        <v>0</v>
      </c>
      <c r="O422">
        <v>599.97</v>
      </c>
    </row>
    <row r="423" spans="1:15" x14ac:dyDescent="0.3">
      <c r="A423" t="s">
        <v>937</v>
      </c>
      <c r="B423" t="s">
        <v>611</v>
      </c>
      <c r="C423" t="s">
        <v>938</v>
      </c>
      <c r="D423" t="s">
        <v>51</v>
      </c>
      <c r="E423" t="s">
        <v>108</v>
      </c>
      <c r="F423" t="s">
        <v>20</v>
      </c>
      <c r="G423" t="s">
        <v>74</v>
      </c>
      <c r="H423" t="s">
        <v>75</v>
      </c>
      <c r="I423">
        <v>1</v>
      </c>
      <c r="J423">
        <v>299.99</v>
      </c>
      <c r="K423">
        <v>0.15</v>
      </c>
      <c r="L423" t="s">
        <v>23</v>
      </c>
      <c r="M423">
        <v>299.99</v>
      </c>
      <c r="N423">
        <v>45</v>
      </c>
      <c r="O423">
        <v>254.99</v>
      </c>
    </row>
    <row r="424" spans="1:15" x14ac:dyDescent="0.3">
      <c r="A424" t="s">
        <v>939</v>
      </c>
      <c r="B424" t="s">
        <v>49</v>
      </c>
      <c r="C424" t="s">
        <v>221</v>
      </c>
      <c r="D424" t="s">
        <v>32</v>
      </c>
      <c r="E424" t="s">
        <v>45</v>
      </c>
      <c r="F424" t="s">
        <v>34</v>
      </c>
      <c r="G424" t="s">
        <v>35</v>
      </c>
      <c r="H424" t="s">
        <v>199</v>
      </c>
      <c r="I424">
        <v>6</v>
      </c>
      <c r="J424">
        <v>99.99</v>
      </c>
      <c r="K424">
        <v>0.15</v>
      </c>
      <c r="L424" t="s">
        <v>47</v>
      </c>
      <c r="M424">
        <v>599.94000000000005</v>
      </c>
      <c r="N424">
        <v>89.99</v>
      </c>
      <c r="O424">
        <v>509.95</v>
      </c>
    </row>
    <row r="425" spans="1:15" x14ac:dyDescent="0.3">
      <c r="A425" t="s">
        <v>940</v>
      </c>
      <c r="B425" t="s">
        <v>653</v>
      </c>
      <c r="C425" t="s">
        <v>630</v>
      </c>
      <c r="D425" t="s">
        <v>18</v>
      </c>
      <c r="E425" t="s">
        <v>56</v>
      </c>
      <c r="F425" t="s">
        <v>20</v>
      </c>
      <c r="G425" t="s">
        <v>74</v>
      </c>
      <c r="H425" t="s">
        <v>75</v>
      </c>
      <c r="I425">
        <v>1</v>
      </c>
      <c r="J425">
        <v>299.99</v>
      </c>
      <c r="K425">
        <v>0</v>
      </c>
      <c r="L425" t="s">
        <v>37</v>
      </c>
      <c r="M425">
        <v>299.99</v>
      </c>
      <c r="N425">
        <v>0</v>
      </c>
      <c r="O425">
        <v>299.99</v>
      </c>
    </row>
    <row r="426" spans="1:15" x14ac:dyDescent="0.3">
      <c r="A426" t="s">
        <v>941</v>
      </c>
      <c r="B426" t="s">
        <v>942</v>
      </c>
      <c r="C426" t="s">
        <v>397</v>
      </c>
      <c r="D426" t="s">
        <v>72</v>
      </c>
      <c r="E426" t="s">
        <v>73</v>
      </c>
      <c r="F426" t="s">
        <v>20</v>
      </c>
      <c r="G426" t="s">
        <v>57</v>
      </c>
      <c r="H426" t="s">
        <v>189</v>
      </c>
      <c r="I426">
        <v>1</v>
      </c>
      <c r="J426">
        <v>119.99</v>
      </c>
      <c r="K426">
        <v>0</v>
      </c>
      <c r="L426" t="s">
        <v>47</v>
      </c>
      <c r="M426">
        <v>119.99</v>
      </c>
      <c r="N426">
        <v>0</v>
      </c>
      <c r="O426">
        <v>119.99</v>
      </c>
    </row>
    <row r="427" spans="1:15" x14ac:dyDescent="0.3">
      <c r="A427" t="s">
        <v>943</v>
      </c>
      <c r="B427" t="s">
        <v>810</v>
      </c>
      <c r="C427" t="s">
        <v>306</v>
      </c>
      <c r="D427" t="s">
        <v>72</v>
      </c>
      <c r="E427" t="s">
        <v>152</v>
      </c>
      <c r="F427" t="s">
        <v>34</v>
      </c>
      <c r="G427" t="s">
        <v>57</v>
      </c>
      <c r="H427" t="s">
        <v>189</v>
      </c>
      <c r="I427">
        <v>6</v>
      </c>
      <c r="J427">
        <v>119.99</v>
      </c>
      <c r="K427">
        <v>0</v>
      </c>
      <c r="L427" t="s">
        <v>47</v>
      </c>
      <c r="M427">
        <v>719.94</v>
      </c>
      <c r="N427">
        <v>0</v>
      </c>
      <c r="O427">
        <v>719.94</v>
      </c>
    </row>
    <row r="428" spans="1:15" x14ac:dyDescent="0.3">
      <c r="A428" t="s">
        <v>944</v>
      </c>
      <c r="B428" t="s">
        <v>945</v>
      </c>
      <c r="C428" t="s">
        <v>137</v>
      </c>
      <c r="D428" t="s">
        <v>72</v>
      </c>
      <c r="E428" t="s">
        <v>152</v>
      </c>
      <c r="F428" t="s">
        <v>34</v>
      </c>
      <c r="G428" t="s">
        <v>21</v>
      </c>
      <c r="H428" t="s">
        <v>46</v>
      </c>
      <c r="I428">
        <v>3</v>
      </c>
      <c r="J428">
        <v>119.99</v>
      </c>
      <c r="K428">
        <v>0.05</v>
      </c>
      <c r="L428" t="s">
        <v>23</v>
      </c>
      <c r="M428">
        <v>359.97</v>
      </c>
      <c r="N428">
        <v>18</v>
      </c>
      <c r="O428">
        <v>341.97</v>
      </c>
    </row>
    <row r="429" spans="1:15" x14ac:dyDescent="0.3">
      <c r="A429" t="s">
        <v>946</v>
      </c>
      <c r="B429" t="s">
        <v>281</v>
      </c>
      <c r="C429" t="s">
        <v>841</v>
      </c>
      <c r="D429" t="s">
        <v>51</v>
      </c>
      <c r="E429" t="s">
        <v>108</v>
      </c>
      <c r="F429" t="s">
        <v>34</v>
      </c>
      <c r="G429" t="s">
        <v>35</v>
      </c>
      <c r="H429" t="s">
        <v>199</v>
      </c>
      <c r="I429">
        <v>2</v>
      </c>
      <c r="J429">
        <v>99.99</v>
      </c>
      <c r="K429">
        <v>0</v>
      </c>
      <c r="L429" t="s">
        <v>23</v>
      </c>
      <c r="M429">
        <v>199.98</v>
      </c>
      <c r="N429">
        <v>0</v>
      </c>
      <c r="O429">
        <v>199.98</v>
      </c>
    </row>
    <row r="430" spans="1:15" x14ac:dyDescent="0.3">
      <c r="A430" t="s">
        <v>947</v>
      </c>
      <c r="B430" t="s">
        <v>384</v>
      </c>
      <c r="C430" t="s">
        <v>325</v>
      </c>
      <c r="D430" t="s">
        <v>18</v>
      </c>
      <c r="E430" t="s">
        <v>19</v>
      </c>
      <c r="F430" t="s">
        <v>34</v>
      </c>
      <c r="G430" t="s">
        <v>35</v>
      </c>
      <c r="H430" t="s">
        <v>36</v>
      </c>
      <c r="I430">
        <v>6</v>
      </c>
      <c r="J430">
        <v>79.989999999999995</v>
      </c>
      <c r="K430">
        <v>0.15</v>
      </c>
      <c r="L430" t="s">
        <v>80</v>
      </c>
      <c r="M430">
        <v>479.94</v>
      </c>
      <c r="N430">
        <v>71.989999999999995</v>
      </c>
      <c r="O430">
        <v>407.95</v>
      </c>
    </row>
    <row r="431" spans="1:15" x14ac:dyDescent="0.3">
      <c r="A431" t="s">
        <v>948</v>
      </c>
      <c r="B431" t="s">
        <v>949</v>
      </c>
      <c r="C431" t="s">
        <v>950</v>
      </c>
      <c r="D431" t="s">
        <v>27</v>
      </c>
      <c r="E431" t="s">
        <v>28</v>
      </c>
      <c r="F431" t="s">
        <v>20</v>
      </c>
      <c r="G431" t="s">
        <v>74</v>
      </c>
      <c r="H431" t="s">
        <v>75</v>
      </c>
      <c r="I431">
        <v>3</v>
      </c>
      <c r="J431">
        <v>299.99</v>
      </c>
      <c r="K431">
        <v>0.15</v>
      </c>
      <c r="L431" t="s">
        <v>37</v>
      </c>
      <c r="M431">
        <v>899.97</v>
      </c>
      <c r="N431">
        <v>135</v>
      </c>
      <c r="O431">
        <v>764.97</v>
      </c>
    </row>
    <row r="432" spans="1:15" x14ac:dyDescent="0.3">
      <c r="A432" t="s">
        <v>951</v>
      </c>
      <c r="B432" t="s">
        <v>380</v>
      </c>
      <c r="C432" t="s">
        <v>17</v>
      </c>
      <c r="D432" t="s">
        <v>72</v>
      </c>
      <c r="E432" t="s">
        <v>73</v>
      </c>
      <c r="F432" t="s">
        <v>34</v>
      </c>
      <c r="G432" t="s">
        <v>62</v>
      </c>
      <c r="H432" t="s">
        <v>124</v>
      </c>
      <c r="I432">
        <v>4</v>
      </c>
      <c r="J432">
        <v>399.99</v>
      </c>
      <c r="K432">
        <v>0</v>
      </c>
      <c r="L432" t="s">
        <v>47</v>
      </c>
      <c r="M432">
        <v>1599.96</v>
      </c>
      <c r="N432">
        <v>0</v>
      </c>
      <c r="O432">
        <v>1599.96</v>
      </c>
    </row>
    <row r="433" spans="1:15" x14ac:dyDescent="0.3">
      <c r="A433" t="s">
        <v>952</v>
      </c>
      <c r="B433" t="s">
        <v>953</v>
      </c>
      <c r="C433" t="s">
        <v>397</v>
      </c>
      <c r="D433" t="s">
        <v>27</v>
      </c>
      <c r="E433" t="s">
        <v>123</v>
      </c>
      <c r="F433" t="s">
        <v>34</v>
      </c>
      <c r="G433" t="s">
        <v>62</v>
      </c>
      <c r="H433" t="s">
        <v>124</v>
      </c>
      <c r="I433">
        <v>2</v>
      </c>
      <c r="J433">
        <v>399.99</v>
      </c>
      <c r="K433">
        <v>0.1</v>
      </c>
      <c r="L433" t="s">
        <v>47</v>
      </c>
      <c r="M433">
        <v>799.98</v>
      </c>
      <c r="N433">
        <v>80</v>
      </c>
      <c r="O433">
        <v>719.98</v>
      </c>
    </row>
    <row r="434" spans="1:15" x14ac:dyDescent="0.3">
      <c r="A434" t="s">
        <v>954</v>
      </c>
      <c r="B434" t="s">
        <v>955</v>
      </c>
      <c r="C434" t="s">
        <v>89</v>
      </c>
      <c r="D434" t="s">
        <v>18</v>
      </c>
      <c r="E434" t="s">
        <v>19</v>
      </c>
      <c r="F434" t="s">
        <v>20</v>
      </c>
      <c r="G434" t="s">
        <v>21</v>
      </c>
      <c r="H434" t="s">
        <v>46</v>
      </c>
      <c r="I434">
        <v>3</v>
      </c>
      <c r="J434">
        <v>119.99</v>
      </c>
      <c r="K434">
        <v>0</v>
      </c>
      <c r="L434" t="s">
        <v>23</v>
      </c>
      <c r="M434">
        <v>359.97</v>
      </c>
      <c r="N434">
        <v>0</v>
      </c>
      <c r="O434">
        <v>359.97</v>
      </c>
    </row>
    <row r="435" spans="1:15" x14ac:dyDescent="0.3">
      <c r="A435" t="s">
        <v>956</v>
      </c>
      <c r="B435" t="s">
        <v>493</v>
      </c>
      <c r="C435" t="s">
        <v>880</v>
      </c>
      <c r="D435" t="s">
        <v>27</v>
      </c>
      <c r="E435" t="s">
        <v>67</v>
      </c>
      <c r="F435" t="s">
        <v>34</v>
      </c>
      <c r="G435" t="s">
        <v>74</v>
      </c>
      <c r="H435" t="s">
        <v>112</v>
      </c>
      <c r="I435">
        <v>4</v>
      </c>
      <c r="J435">
        <v>129.99</v>
      </c>
      <c r="K435">
        <v>0.1</v>
      </c>
      <c r="L435" t="s">
        <v>23</v>
      </c>
      <c r="M435">
        <v>519.96</v>
      </c>
      <c r="N435">
        <v>52</v>
      </c>
      <c r="O435">
        <v>467.96</v>
      </c>
    </row>
    <row r="436" spans="1:15" x14ac:dyDescent="0.3">
      <c r="A436" t="s">
        <v>957</v>
      </c>
      <c r="B436" t="s">
        <v>958</v>
      </c>
      <c r="C436" t="s">
        <v>163</v>
      </c>
      <c r="D436" t="s">
        <v>72</v>
      </c>
      <c r="E436" t="s">
        <v>73</v>
      </c>
      <c r="F436" t="s">
        <v>20</v>
      </c>
      <c r="G436" t="s">
        <v>57</v>
      </c>
      <c r="H436" t="s">
        <v>300</v>
      </c>
      <c r="I436">
        <v>1</v>
      </c>
      <c r="J436">
        <v>179.99</v>
      </c>
      <c r="K436">
        <v>0.05</v>
      </c>
      <c r="L436" t="s">
        <v>80</v>
      </c>
      <c r="M436">
        <v>179.99</v>
      </c>
      <c r="N436">
        <v>9</v>
      </c>
      <c r="O436">
        <v>170.99</v>
      </c>
    </row>
    <row r="437" spans="1:15" x14ac:dyDescent="0.3">
      <c r="A437" t="s">
        <v>959</v>
      </c>
      <c r="B437" t="s">
        <v>579</v>
      </c>
      <c r="C437" t="s">
        <v>862</v>
      </c>
      <c r="D437" t="s">
        <v>32</v>
      </c>
      <c r="E437" t="s">
        <v>45</v>
      </c>
      <c r="F437" t="s">
        <v>34</v>
      </c>
      <c r="G437" t="s">
        <v>62</v>
      </c>
      <c r="H437" t="s">
        <v>249</v>
      </c>
      <c r="I437">
        <v>6</v>
      </c>
      <c r="J437">
        <v>49.99</v>
      </c>
      <c r="K437">
        <v>0.15</v>
      </c>
      <c r="L437" t="s">
        <v>37</v>
      </c>
      <c r="M437">
        <v>299.94</v>
      </c>
      <c r="N437">
        <v>44.99</v>
      </c>
      <c r="O437">
        <v>254.95</v>
      </c>
    </row>
    <row r="438" spans="1:15" x14ac:dyDescent="0.3">
      <c r="A438" t="s">
        <v>960</v>
      </c>
      <c r="B438" t="s">
        <v>782</v>
      </c>
      <c r="C438" t="s">
        <v>111</v>
      </c>
      <c r="D438" t="s">
        <v>72</v>
      </c>
      <c r="E438" t="s">
        <v>152</v>
      </c>
      <c r="F438" t="s">
        <v>34</v>
      </c>
      <c r="G438" t="s">
        <v>21</v>
      </c>
      <c r="H438" t="s">
        <v>68</v>
      </c>
      <c r="I438">
        <v>5</v>
      </c>
      <c r="J438">
        <v>129.99</v>
      </c>
      <c r="K438">
        <v>0.1</v>
      </c>
      <c r="L438" t="s">
        <v>23</v>
      </c>
      <c r="M438">
        <v>649.95000000000005</v>
      </c>
      <c r="N438">
        <v>65</v>
      </c>
      <c r="O438">
        <v>584.95000000000005</v>
      </c>
    </row>
    <row r="439" spans="1:15" x14ac:dyDescent="0.3">
      <c r="A439" t="s">
        <v>961</v>
      </c>
      <c r="B439" t="s">
        <v>443</v>
      </c>
      <c r="C439" t="s">
        <v>780</v>
      </c>
      <c r="D439" t="s">
        <v>51</v>
      </c>
      <c r="E439" t="s">
        <v>108</v>
      </c>
      <c r="F439" t="s">
        <v>34</v>
      </c>
      <c r="G439" t="s">
        <v>21</v>
      </c>
      <c r="H439" t="s">
        <v>22</v>
      </c>
      <c r="I439">
        <v>3</v>
      </c>
      <c r="J439">
        <v>89.99</v>
      </c>
      <c r="K439">
        <v>0</v>
      </c>
      <c r="L439" t="s">
        <v>37</v>
      </c>
      <c r="M439">
        <v>269.97000000000003</v>
      </c>
      <c r="N439">
        <v>0</v>
      </c>
      <c r="O439">
        <v>269.97000000000003</v>
      </c>
    </row>
    <row r="440" spans="1:15" x14ac:dyDescent="0.3">
      <c r="A440" t="s">
        <v>962</v>
      </c>
      <c r="B440" t="s">
        <v>302</v>
      </c>
      <c r="C440" t="s">
        <v>171</v>
      </c>
      <c r="D440" t="s">
        <v>51</v>
      </c>
      <c r="E440" t="s">
        <v>52</v>
      </c>
      <c r="F440" t="s">
        <v>34</v>
      </c>
      <c r="G440" t="s">
        <v>21</v>
      </c>
      <c r="H440" t="s">
        <v>22</v>
      </c>
      <c r="I440">
        <v>2</v>
      </c>
      <c r="J440">
        <v>89.99</v>
      </c>
      <c r="K440">
        <v>0.15</v>
      </c>
      <c r="L440" t="s">
        <v>47</v>
      </c>
      <c r="M440">
        <v>179.98</v>
      </c>
      <c r="N440">
        <v>27</v>
      </c>
      <c r="O440">
        <v>152.97999999999999</v>
      </c>
    </row>
    <row r="441" spans="1:15" x14ac:dyDescent="0.3">
      <c r="A441" t="s">
        <v>963</v>
      </c>
      <c r="B441" t="s">
        <v>334</v>
      </c>
      <c r="C441" t="s">
        <v>171</v>
      </c>
      <c r="D441" t="s">
        <v>72</v>
      </c>
      <c r="E441" t="s">
        <v>73</v>
      </c>
      <c r="F441" t="s">
        <v>34</v>
      </c>
      <c r="G441" t="s">
        <v>35</v>
      </c>
      <c r="H441" t="s">
        <v>199</v>
      </c>
      <c r="I441">
        <v>4</v>
      </c>
      <c r="J441">
        <v>99.99</v>
      </c>
      <c r="K441">
        <v>0</v>
      </c>
      <c r="L441" t="s">
        <v>80</v>
      </c>
      <c r="M441">
        <v>399.96</v>
      </c>
      <c r="N441">
        <v>0</v>
      </c>
      <c r="O441">
        <v>399.96</v>
      </c>
    </row>
    <row r="442" spans="1:15" x14ac:dyDescent="0.3">
      <c r="A442" t="s">
        <v>964</v>
      </c>
      <c r="B442" t="s">
        <v>208</v>
      </c>
      <c r="C442" t="s">
        <v>762</v>
      </c>
      <c r="D442" t="s">
        <v>72</v>
      </c>
      <c r="E442" t="s">
        <v>152</v>
      </c>
      <c r="F442" t="s">
        <v>34</v>
      </c>
      <c r="G442" t="s">
        <v>62</v>
      </c>
      <c r="H442" t="s">
        <v>124</v>
      </c>
      <c r="I442">
        <v>6</v>
      </c>
      <c r="J442">
        <v>399.99</v>
      </c>
      <c r="K442">
        <v>0.1</v>
      </c>
      <c r="L442" t="s">
        <v>80</v>
      </c>
      <c r="M442">
        <v>2399.94</v>
      </c>
      <c r="N442">
        <v>239.99</v>
      </c>
      <c r="O442">
        <v>2159.9499999999998</v>
      </c>
    </row>
    <row r="443" spans="1:15" x14ac:dyDescent="0.3">
      <c r="A443" t="s">
        <v>965</v>
      </c>
      <c r="B443" t="s">
        <v>966</v>
      </c>
      <c r="C443" t="s">
        <v>967</v>
      </c>
      <c r="D443" t="s">
        <v>32</v>
      </c>
      <c r="E443" t="s">
        <v>33</v>
      </c>
      <c r="F443" t="s">
        <v>20</v>
      </c>
      <c r="G443" t="s">
        <v>62</v>
      </c>
      <c r="H443" t="s">
        <v>124</v>
      </c>
      <c r="I443">
        <v>5</v>
      </c>
      <c r="J443">
        <v>399.99</v>
      </c>
      <c r="K443">
        <v>0.05</v>
      </c>
      <c r="L443" t="s">
        <v>47</v>
      </c>
      <c r="M443">
        <v>1999.95</v>
      </c>
      <c r="N443">
        <v>100</v>
      </c>
      <c r="O443">
        <v>1899.95</v>
      </c>
    </row>
    <row r="444" spans="1:15" x14ac:dyDescent="0.3">
      <c r="A444" t="s">
        <v>968</v>
      </c>
      <c r="B444" t="s">
        <v>498</v>
      </c>
      <c r="C444" t="s">
        <v>282</v>
      </c>
      <c r="D444" t="s">
        <v>72</v>
      </c>
      <c r="E444" t="s">
        <v>152</v>
      </c>
      <c r="F444" t="s">
        <v>20</v>
      </c>
      <c r="G444" t="s">
        <v>35</v>
      </c>
      <c r="H444" t="s">
        <v>199</v>
      </c>
      <c r="I444">
        <v>5</v>
      </c>
      <c r="J444">
        <v>99.99</v>
      </c>
      <c r="K444">
        <v>0.05</v>
      </c>
      <c r="L444" t="s">
        <v>37</v>
      </c>
      <c r="M444">
        <v>499.95</v>
      </c>
      <c r="N444">
        <v>25</v>
      </c>
      <c r="O444">
        <v>474.95</v>
      </c>
    </row>
    <row r="445" spans="1:15" x14ac:dyDescent="0.3">
      <c r="A445" t="s">
        <v>969</v>
      </c>
      <c r="B445" t="s">
        <v>958</v>
      </c>
      <c r="C445" t="s">
        <v>889</v>
      </c>
      <c r="D445" t="s">
        <v>18</v>
      </c>
      <c r="E445" t="s">
        <v>56</v>
      </c>
      <c r="F445" t="s">
        <v>34</v>
      </c>
      <c r="G445" t="s">
        <v>74</v>
      </c>
      <c r="H445" t="s">
        <v>75</v>
      </c>
      <c r="I445">
        <v>2</v>
      </c>
      <c r="J445">
        <v>299.99</v>
      </c>
      <c r="K445">
        <v>0</v>
      </c>
      <c r="L445" t="s">
        <v>37</v>
      </c>
      <c r="M445">
        <v>599.98</v>
      </c>
      <c r="N445">
        <v>0</v>
      </c>
      <c r="O445">
        <v>599.98</v>
      </c>
    </row>
    <row r="446" spans="1:15" x14ac:dyDescent="0.3">
      <c r="A446" t="s">
        <v>970</v>
      </c>
      <c r="B446" t="s">
        <v>971</v>
      </c>
      <c r="C446" t="s">
        <v>685</v>
      </c>
      <c r="D446" t="s">
        <v>51</v>
      </c>
      <c r="E446" t="s">
        <v>108</v>
      </c>
      <c r="F446" t="s">
        <v>34</v>
      </c>
      <c r="G446" t="s">
        <v>62</v>
      </c>
      <c r="H446" t="s">
        <v>63</v>
      </c>
      <c r="I446">
        <v>5</v>
      </c>
      <c r="J446">
        <v>199.99</v>
      </c>
      <c r="K446">
        <v>0.15</v>
      </c>
      <c r="L446" t="s">
        <v>47</v>
      </c>
      <c r="M446">
        <v>999.95</v>
      </c>
      <c r="N446">
        <v>149.99</v>
      </c>
      <c r="O446">
        <v>849.96</v>
      </c>
    </row>
    <row r="447" spans="1:15" x14ac:dyDescent="0.3">
      <c r="A447" t="s">
        <v>972</v>
      </c>
      <c r="B447" t="s">
        <v>587</v>
      </c>
      <c r="C447" t="s">
        <v>328</v>
      </c>
      <c r="D447" t="s">
        <v>27</v>
      </c>
      <c r="E447" t="s">
        <v>67</v>
      </c>
      <c r="F447" t="s">
        <v>34</v>
      </c>
      <c r="G447" t="s">
        <v>35</v>
      </c>
      <c r="H447" t="s">
        <v>134</v>
      </c>
      <c r="I447">
        <v>5</v>
      </c>
      <c r="J447">
        <v>139.99</v>
      </c>
      <c r="K447">
        <v>0.05</v>
      </c>
      <c r="L447" t="s">
        <v>37</v>
      </c>
      <c r="M447">
        <v>699.95</v>
      </c>
      <c r="N447">
        <v>35</v>
      </c>
      <c r="O447">
        <v>664.95</v>
      </c>
    </row>
    <row r="448" spans="1:15" x14ac:dyDescent="0.3">
      <c r="A448" t="s">
        <v>973</v>
      </c>
      <c r="B448" t="s">
        <v>670</v>
      </c>
      <c r="C448" t="s">
        <v>745</v>
      </c>
      <c r="D448" t="s">
        <v>32</v>
      </c>
      <c r="E448" t="s">
        <v>45</v>
      </c>
      <c r="F448" t="s">
        <v>20</v>
      </c>
      <c r="G448" t="s">
        <v>74</v>
      </c>
      <c r="H448" t="s">
        <v>112</v>
      </c>
      <c r="I448">
        <v>1</v>
      </c>
      <c r="J448">
        <v>129.99</v>
      </c>
      <c r="K448">
        <v>0.05</v>
      </c>
      <c r="L448" t="s">
        <v>47</v>
      </c>
      <c r="M448">
        <v>129.99</v>
      </c>
      <c r="N448">
        <v>6.5</v>
      </c>
      <c r="O448">
        <v>123.49</v>
      </c>
    </row>
    <row r="449" spans="1:15" x14ac:dyDescent="0.3">
      <c r="A449" t="s">
        <v>974</v>
      </c>
      <c r="B449" t="s">
        <v>945</v>
      </c>
      <c r="C449" t="s">
        <v>697</v>
      </c>
      <c r="D449" t="s">
        <v>18</v>
      </c>
      <c r="E449" t="s">
        <v>56</v>
      </c>
      <c r="F449" t="s">
        <v>34</v>
      </c>
      <c r="G449" t="s">
        <v>57</v>
      </c>
      <c r="H449" t="s">
        <v>58</v>
      </c>
      <c r="I449">
        <v>2</v>
      </c>
      <c r="J449">
        <v>89.99</v>
      </c>
      <c r="K449">
        <v>0</v>
      </c>
      <c r="L449" t="s">
        <v>47</v>
      </c>
      <c r="M449">
        <v>179.98</v>
      </c>
      <c r="N449">
        <v>0</v>
      </c>
      <c r="O449">
        <v>179.98</v>
      </c>
    </row>
    <row r="450" spans="1:15" x14ac:dyDescent="0.3">
      <c r="A450" t="s">
        <v>975</v>
      </c>
      <c r="B450" t="s">
        <v>976</v>
      </c>
      <c r="C450" t="s">
        <v>160</v>
      </c>
      <c r="D450" t="s">
        <v>18</v>
      </c>
      <c r="E450" t="s">
        <v>56</v>
      </c>
      <c r="F450" t="s">
        <v>20</v>
      </c>
      <c r="G450" t="s">
        <v>62</v>
      </c>
      <c r="H450" t="s">
        <v>124</v>
      </c>
      <c r="I450">
        <v>1</v>
      </c>
      <c r="J450">
        <v>399.99</v>
      </c>
      <c r="K450">
        <v>0.1</v>
      </c>
      <c r="L450" t="s">
        <v>23</v>
      </c>
      <c r="M450">
        <v>399.99</v>
      </c>
      <c r="N450">
        <v>40</v>
      </c>
      <c r="O450">
        <v>359.99</v>
      </c>
    </row>
    <row r="451" spans="1:15" x14ac:dyDescent="0.3">
      <c r="A451" t="s">
        <v>977</v>
      </c>
      <c r="B451" t="s">
        <v>509</v>
      </c>
      <c r="C451" t="s">
        <v>531</v>
      </c>
      <c r="D451" t="s">
        <v>27</v>
      </c>
      <c r="E451" t="s">
        <v>67</v>
      </c>
      <c r="F451" t="s">
        <v>20</v>
      </c>
      <c r="G451" t="s">
        <v>35</v>
      </c>
      <c r="H451" t="s">
        <v>134</v>
      </c>
      <c r="I451">
        <v>4</v>
      </c>
      <c r="J451">
        <v>139.99</v>
      </c>
      <c r="K451">
        <v>0.05</v>
      </c>
      <c r="L451" t="s">
        <v>80</v>
      </c>
      <c r="M451">
        <v>559.96</v>
      </c>
      <c r="N451">
        <v>28</v>
      </c>
      <c r="O451">
        <v>531.96</v>
      </c>
    </row>
    <row r="452" spans="1:15" x14ac:dyDescent="0.3">
      <c r="A452" t="s">
        <v>978</v>
      </c>
      <c r="B452" t="s">
        <v>665</v>
      </c>
      <c r="C452" t="s">
        <v>271</v>
      </c>
      <c r="D452" t="s">
        <v>32</v>
      </c>
      <c r="E452" t="s">
        <v>33</v>
      </c>
      <c r="F452" t="s">
        <v>34</v>
      </c>
      <c r="G452" t="s">
        <v>57</v>
      </c>
      <c r="H452" t="s">
        <v>58</v>
      </c>
      <c r="I452">
        <v>2</v>
      </c>
      <c r="J452">
        <v>89.99</v>
      </c>
      <c r="K452">
        <v>0.15</v>
      </c>
      <c r="L452" t="s">
        <v>47</v>
      </c>
      <c r="M452">
        <v>179.98</v>
      </c>
      <c r="N452">
        <v>27</v>
      </c>
      <c r="O452">
        <v>152.97999999999999</v>
      </c>
    </row>
    <row r="453" spans="1:15" x14ac:dyDescent="0.3">
      <c r="A453" t="s">
        <v>979</v>
      </c>
      <c r="B453" t="s">
        <v>614</v>
      </c>
      <c r="C453" t="s">
        <v>780</v>
      </c>
      <c r="D453" t="s">
        <v>72</v>
      </c>
      <c r="E453" t="s">
        <v>73</v>
      </c>
      <c r="F453" t="s">
        <v>20</v>
      </c>
      <c r="G453" t="s">
        <v>35</v>
      </c>
      <c r="H453" t="s">
        <v>134</v>
      </c>
      <c r="I453">
        <v>6</v>
      </c>
      <c r="J453">
        <v>139.99</v>
      </c>
      <c r="K453">
        <v>0</v>
      </c>
      <c r="L453" t="s">
        <v>80</v>
      </c>
      <c r="M453">
        <v>839.94</v>
      </c>
      <c r="N453">
        <v>0</v>
      </c>
      <c r="O453">
        <v>839.94</v>
      </c>
    </row>
    <row r="454" spans="1:15" x14ac:dyDescent="0.3">
      <c r="A454" t="s">
        <v>980</v>
      </c>
      <c r="B454" t="s">
        <v>384</v>
      </c>
      <c r="C454" t="s">
        <v>981</v>
      </c>
      <c r="D454" t="s">
        <v>72</v>
      </c>
      <c r="E454" t="s">
        <v>152</v>
      </c>
      <c r="F454" t="s">
        <v>34</v>
      </c>
      <c r="G454" t="s">
        <v>74</v>
      </c>
      <c r="H454" t="s">
        <v>112</v>
      </c>
      <c r="I454">
        <v>5</v>
      </c>
      <c r="J454">
        <v>129.99</v>
      </c>
      <c r="K454">
        <v>0</v>
      </c>
      <c r="L454" t="s">
        <v>80</v>
      </c>
      <c r="M454">
        <v>649.95000000000005</v>
      </c>
      <c r="N454">
        <v>0</v>
      </c>
      <c r="O454">
        <v>649.95000000000005</v>
      </c>
    </row>
    <row r="455" spans="1:15" x14ac:dyDescent="0.3">
      <c r="A455" t="s">
        <v>982</v>
      </c>
      <c r="B455" t="s">
        <v>82</v>
      </c>
      <c r="C455" t="s">
        <v>745</v>
      </c>
      <c r="D455" t="s">
        <v>51</v>
      </c>
      <c r="E455" t="s">
        <v>108</v>
      </c>
      <c r="F455" t="s">
        <v>34</v>
      </c>
      <c r="G455" t="s">
        <v>57</v>
      </c>
      <c r="H455" t="s">
        <v>130</v>
      </c>
      <c r="I455">
        <v>2</v>
      </c>
      <c r="J455">
        <v>109.99</v>
      </c>
      <c r="K455">
        <v>0</v>
      </c>
      <c r="L455" t="s">
        <v>23</v>
      </c>
      <c r="M455">
        <v>219.98</v>
      </c>
      <c r="N455">
        <v>0</v>
      </c>
      <c r="O455">
        <v>219.98</v>
      </c>
    </row>
    <row r="456" spans="1:15" x14ac:dyDescent="0.3">
      <c r="A456" t="s">
        <v>983</v>
      </c>
      <c r="B456" t="s">
        <v>849</v>
      </c>
      <c r="C456" t="s">
        <v>623</v>
      </c>
      <c r="D456" t="s">
        <v>27</v>
      </c>
      <c r="E456" t="s">
        <v>123</v>
      </c>
      <c r="F456" t="s">
        <v>20</v>
      </c>
      <c r="G456" t="s">
        <v>62</v>
      </c>
      <c r="H456" t="s">
        <v>249</v>
      </c>
      <c r="I456">
        <v>3</v>
      </c>
      <c r="J456">
        <v>49.99</v>
      </c>
      <c r="K456">
        <v>0.1</v>
      </c>
      <c r="L456" t="s">
        <v>80</v>
      </c>
      <c r="M456">
        <v>149.97</v>
      </c>
      <c r="N456">
        <v>15</v>
      </c>
      <c r="O456">
        <v>134.97</v>
      </c>
    </row>
    <row r="457" spans="1:15" x14ac:dyDescent="0.3">
      <c r="A457" t="s">
        <v>984</v>
      </c>
      <c r="B457" t="s">
        <v>484</v>
      </c>
      <c r="C457" t="s">
        <v>420</v>
      </c>
      <c r="D457" t="s">
        <v>72</v>
      </c>
      <c r="E457" t="s">
        <v>152</v>
      </c>
      <c r="F457" t="s">
        <v>20</v>
      </c>
      <c r="G457" t="s">
        <v>62</v>
      </c>
      <c r="H457" t="s">
        <v>63</v>
      </c>
      <c r="I457">
        <v>1</v>
      </c>
      <c r="J457">
        <v>199.99</v>
      </c>
      <c r="K457">
        <v>0</v>
      </c>
      <c r="L457" t="s">
        <v>37</v>
      </c>
      <c r="M457">
        <v>199.99</v>
      </c>
      <c r="N457">
        <v>0</v>
      </c>
      <c r="O457">
        <v>199.99</v>
      </c>
    </row>
    <row r="458" spans="1:15" x14ac:dyDescent="0.3">
      <c r="A458" t="s">
        <v>985</v>
      </c>
      <c r="B458" t="s">
        <v>875</v>
      </c>
      <c r="C458" t="s">
        <v>986</v>
      </c>
      <c r="D458" t="s">
        <v>18</v>
      </c>
      <c r="E458" t="s">
        <v>19</v>
      </c>
      <c r="F458" t="s">
        <v>20</v>
      </c>
      <c r="G458" t="s">
        <v>57</v>
      </c>
      <c r="H458" t="s">
        <v>189</v>
      </c>
      <c r="I458">
        <v>5</v>
      </c>
      <c r="J458">
        <v>119.99</v>
      </c>
      <c r="K458">
        <v>0.1</v>
      </c>
      <c r="L458" t="s">
        <v>80</v>
      </c>
      <c r="M458">
        <v>599.95000000000005</v>
      </c>
      <c r="N458">
        <v>60</v>
      </c>
      <c r="O458">
        <v>539.95000000000005</v>
      </c>
    </row>
    <row r="459" spans="1:15" x14ac:dyDescent="0.3">
      <c r="A459" t="s">
        <v>987</v>
      </c>
      <c r="B459" t="s">
        <v>520</v>
      </c>
      <c r="C459" t="s">
        <v>50</v>
      </c>
      <c r="D459" t="s">
        <v>51</v>
      </c>
      <c r="E459" t="s">
        <v>108</v>
      </c>
      <c r="F459" t="s">
        <v>20</v>
      </c>
      <c r="G459" t="s">
        <v>57</v>
      </c>
      <c r="H459" t="s">
        <v>130</v>
      </c>
      <c r="I459">
        <v>1</v>
      </c>
      <c r="J459">
        <v>109.99</v>
      </c>
      <c r="K459">
        <v>0.15</v>
      </c>
      <c r="L459" t="s">
        <v>23</v>
      </c>
      <c r="M459">
        <v>109.99</v>
      </c>
      <c r="N459">
        <v>16.5</v>
      </c>
      <c r="O459">
        <v>93.49</v>
      </c>
    </row>
    <row r="460" spans="1:15" x14ac:dyDescent="0.3">
      <c r="A460" t="s">
        <v>988</v>
      </c>
      <c r="B460" t="s">
        <v>966</v>
      </c>
      <c r="C460" t="s">
        <v>989</v>
      </c>
      <c r="D460" t="s">
        <v>27</v>
      </c>
      <c r="E460" t="s">
        <v>123</v>
      </c>
      <c r="F460" t="s">
        <v>34</v>
      </c>
      <c r="G460" t="s">
        <v>57</v>
      </c>
      <c r="H460" t="s">
        <v>189</v>
      </c>
      <c r="I460">
        <v>3</v>
      </c>
      <c r="J460">
        <v>119.99</v>
      </c>
      <c r="K460">
        <v>0.1</v>
      </c>
      <c r="L460" t="s">
        <v>80</v>
      </c>
      <c r="M460">
        <v>359.97</v>
      </c>
      <c r="N460">
        <v>36</v>
      </c>
      <c r="O460">
        <v>323.97000000000003</v>
      </c>
    </row>
    <row r="461" spans="1:15" x14ac:dyDescent="0.3">
      <c r="A461" t="s">
        <v>990</v>
      </c>
      <c r="B461" t="s">
        <v>223</v>
      </c>
      <c r="C461" t="s">
        <v>991</v>
      </c>
      <c r="D461" t="s">
        <v>18</v>
      </c>
      <c r="E461" t="s">
        <v>19</v>
      </c>
      <c r="F461" t="s">
        <v>20</v>
      </c>
      <c r="G461" t="s">
        <v>57</v>
      </c>
      <c r="H461" t="s">
        <v>58</v>
      </c>
      <c r="I461">
        <v>1</v>
      </c>
      <c r="J461">
        <v>89.99</v>
      </c>
      <c r="K461">
        <v>0</v>
      </c>
      <c r="L461" t="s">
        <v>80</v>
      </c>
      <c r="M461">
        <v>89.99</v>
      </c>
      <c r="N461">
        <v>0</v>
      </c>
      <c r="O461">
        <v>89.99</v>
      </c>
    </row>
    <row r="462" spans="1:15" x14ac:dyDescent="0.3">
      <c r="A462" t="s">
        <v>992</v>
      </c>
      <c r="B462" t="s">
        <v>170</v>
      </c>
      <c r="C462" t="s">
        <v>360</v>
      </c>
      <c r="D462" t="s">
        <v>72</v>
      </c>
      <c r="E462" t="s">
        <v>73</v>
      </c>
      <c r="F462" t="s">
        <v>34</v>
      </c>
      <c r="G462" t="s">
        <v>35</v>
      </c>
      <c r="H462" t="s">
        <v>41</v>
      </c>
      <c r="I462">
        <v>2</v>
      </c>
      <c r="J462">
        <v>104.99</v>
      </c>
      <c r="K462">
        <v>0.1</v>
      </c>
      <c r="L462" t="s">
        <v>80</v>
      </c>
      <c r="M462">
        <v>209.98</v>
      </c>
      <c r="N462">
        <v>21</v>
      </c>
      <c r="O462">
        <v>188.98</v>
      </c>
    </row>
    <row r="463" spans="1:15" x14ac:dyDescent="0.3">
      <c r="A463" t="s">
        <v>993</v>
      </c>
      <c r="B463" t="s">
        <v>145</v>
      </c>
      <c r="C463" t="s">
        <v>745</v>
      </c>
      <c r="D463" t="s">
        <v>72</v>
      </c>
      <c r="E463" t="s">
        <v>152</v>
      </c>
      <c r="F463" t="s">
        <v>20</v>
      </c>
      <c r="G463" t="s">
        <v>35</v>
      </c>
      <c r="H463" t="s">
        <v>199</v>
      </c>
      <c r="I463">
        <v>1</v>
      </c>
      <c r="J463">
        <v>99.99</v>
      </c>
      <c r="K463">
        <v>0</v>
      </c>
      <c r="L463" t="s">
        <v>37</v>
      </c>
      <c r="M463">
        <v>99.99</v>
      </c>
      <c r="N463">
        <v>0</v>
      </c>
      <c r="O463">
        <v>99.99</v>
      </c>
    </row>
    <row r="464" spans="1:15" x14ac:dyDescent="0.3">
      <c r="A464" t="s">
        <v>994</v>
      </c>
      <c r="B464" t="s">
        <v>504</v>
      </c>
      <c r="C464" t="s">
        <v>765</v>
      </c>
      <c r="D464" t="s">
        <v>32</v>
      </c>
      <c r="E464" t="s">
        <v>45</v>
      </c>
      <c r="F464" t="s">
        <v>34</v>
      </c>
      <c r="G464" t="s">
        <v>62</v>
      </c>
      <c r="H464" t="s">
        <v>124</v>
      </c>
      <c r="I464">
        <v>3</v>
      </c>
      <c r="J464">
        <v>399.99</v>
      </c>
      <c r="K464">
        <v>0.05</v>
      </c>
      <c r="L464" t="s">
        <v>23</v>
      </c>
      <c r="M464">
        <v>1199.97</v>
      </c>
      <c r="N464">
        <v>60</v>
      </c>
      <c r="O464">
        <v>1139.97</v>
      </c>
    </row>
    <row r="465" spans="1:15" x14ac:dyDescent="0.3">
      <c r="A465" t="s">
        <v>995</v>
      </c>
      <c r="B465" t="s">
        <v>176</v>
      </c>
      <c r="C465" t="s">
        <v>265</v>
      </c>
      <c r="D465" t="s">
        <v>72</v>
      </c>
      <c r="E465" t="s">
        <v>73</v>
      </c>
      <c r="F465" t="s">
        <v>20</v>
      </c>
      <c r="G465" t="s">
        <v>57</v>
      </c>
      <c r="H465" t="s">
        <v>300</v>
      </c>
      <c r="I465">
        <v>5</v>
      </c>
      <c r="J465">
        <v>179.99</v>
      </c>
      <c r="K465">
        <v>0</v>
      </c>
      <c r="L465" t="s">
        <v>80</v>
      </c>
      <c r="M465">
        <v>899.95</v>
      </c>
      <c r="N465">
        <v>0</v>
      </c>
      <c r="O465">
        <v>899.95</v>
      </c>
    </row>
    <row r="466" spans="1:15" x14ac:dyDescent="0.3">
      <c r="A466" t="s">
        <v>996</v>
      </c>
      <c r="B466" t="s">
        <v>191</v>
      </c>
      <c r="C466" t="s">
        <v>282</v>
      </c>
      <c r="D466" t="s">
        <v>32</v>
      </c>
      <c r="E466" t="s">
        <v>45</v>
      </c>
      <c r="F466" t="s">
        <v>20</v>
      </c>
      <c r="G466" t="s">
        <v>21</v>
      </c>
      <c r="H466" t="s">
        <v>87</v>
      </c>
      <c r="I466">
        <v>3</v>
      </c>
      <c r="J466">
        <v>149.99</v>
      </c>
      <c r="K466">
        <v>0.15</v>
      </c>
      <c r="L466" t="s">
        <v>37</v>
      </c>
      <c r="M466">
        <v>449.97</v>
      </c>
      <c r="N466">
        <v>67.5</v>
      </c>
      <c r="O466">
        <v>382.47</v>
      </c>
    </row>
    <row r="467" spans="1:15" x14ac:dyDescent="0.3">
      <c r="A467" t="s">
        <v>997</v>
      </c>
      <c r="B467" t="s">
        <v>998</v>
      </c>
      <c r="C467" t="s">
        <v>999</v>
      </c>
      <c r="D467" t="s">
        <v>72</v>
      </c>
      <c r="E467" t="s">
        <v>73</v>
      </c>
      <c r="F467" t="s">
        <v>20</v>
      </c>
      <c r="G467" t="s">
        <v>74</v>
      </c>
      <c r="H467" t="s">
        <v>75</v>
      </c>
      <c r="I467">
        <v>4</v>
      </c>
      <c r="J467">
        <v>299.99</v>
      </c>
      <c r="K467">
        <v>0</v>
      </c>
      <c r="L467" t="s">
        <v>23</v>
      </c>
      <c r="M467">
        <v>1199.96</v>
      </c>
      <c r="N467">
        <v>0</v>
      </c>
      <c r="O467">
        <v>1199.96</v>
      </c>
    </row>
    <row r="468" spans="1:15" x14ac:dyDescent="0.3">
      <c r="A468" t="s">
        <v>1000</v>
      </c>
      <c r="B468" t="s">
        <v>1001</v>
      </c>
      <c r="C468" t="s">
        <v>505</v>
      </c>
      <c r="D468" t="s">
        <v>51</v>
      </c>
      <c r="E468" t="s">
        <v>52</v>
      </c>
      <c r="F468" t="s">
        <v>20</v>
      </c>
      <c r="G468" t="s">
        <v>62</v>
      </c>
      <c r="H468" t="s">
        <v>249</v>
      </c>
      <c r="I468">
        <v>6</v>
      </c>
      <c r="J468">
        <v>49.99</v>
      </c>
      <c r="K468">
        <v>0.15</v>
      </c>
      <c r="L468" t="s">
        <v>47</v>
      </c>
      <c r="M468">
        <v>299.94</v>
      </c>
      <c r="N468">
        <v>44.99</v>
      </c>
      <c r="O468">
        <v>254.95</v>
      </c>
    </row>
    <row r="469" spans="1:15" x14ac:dyDescent="0.3">
      <c r="A469" t="s">
        <v>1002</v>
      </c>
      <c r="B469" t="s">
        <v>223</v>
      </c>
      <c r="C469" t="s">
        <v>936</v>
      </c>
      <c r="D469" t="s">
        <v>27</v>
      </c>
      <c r="E469" t="s">
        <v>123</v>
      </c>
      <c r="F469" t="s">
        <v>20</v>
      </c>
      <c r="G469" t="s">
        <v>21</v>
      </c>
      <c r="H469" t="s">
        <v>22</v>
      </c>
      <c r="I469">
        <v>5</v>
      </c>
      <c r="J469">
        <v>89.99</v>
      </c>
      <c r="K469">
        <v>0.05</v>
      </c>
      <c r="L469" t="s">
        <v>37</v>
      </c>
      <c r="M469">
        <v>449.95</v>
      </c>
      <c r="N469">
        <v>22.5</v>
      </c>
      <c r="O469">
        <v>427.45</v>
      </c>
    </row>
    <row r="470" spans="1:15" x14ac:dyDescent="0.3">
      <c r="A470" t="s">
        <v>1003</v>
      </c>
      <c r="B470" t="s">
        <v>464</v>
      </c>
      <c r="C470" t="s">
        <v>981</v>
      </c>
      <c r="D470" t="s">
        <v>51</v>
      </c>
      <c r="E470" t="s">
        <v>52</v>
      </c>
      <c r="F470" t="s">
        <v>20</v>
      </c>
      <c r="G470" t="s">
        <v>35</v>
      </c>
      <c r="H470" t="s">
        <v>134</v>
      </c>
      <c r="I470">
        <v>6</v>
      </c>
      <c r="J470">
        <v>139.99</v>
      </c>
      <c r="K470">
        <v>0.1</v>
      </c>
      <c r="L470" t="s">
        <v>47</v>
      </c>
      <c r="M470">
        <v>839.94</v>
      </c>
      <c r="N470">
        <v>83.99</v>
      </c>
      <c r="O470">
        <v>755.95</v>
      </c>
    </row>
    <row r="471" spans="1:15" x14ac:dyDescent="0.3">
      <c r="A471" t="s">
        <v>1004</v>
      </c>
      <c r="B471" t="s">
        <v>1005</v>
      </c>
      <c r="C471" t="s">
        <v>397</v>
      </c>
      <c r="D471" t="s">
        <v>51</v>
      </c>
      <c r="E471" t="s">
        <v>108</v>
      </c>
      <c r="F471" t="s">
        <v>20</v>
      </c>
      <c r="G471" t="s">
        <v>62</v>
      </c>
      <c r="H471" t="s">
        <v>249</v>
      </c>
      <c r="I471">
        <v>2</v>
      </c>
      <c r="J471">
        <v>49.99</v>
      </c>
      <c r="K471">
        <v>0.15</v>
      </c>
      <c r="L471" t="s">
        <v>23</v>
      </c>
      <c r="M471">
        <v>99.98</v>
      </c>
      <c r="N471">
        <v>15</v>
      </c>
      <c r="O471">
        <v>84.98</v>
      </c>
    </row>
    <row r="472" spans="1:15" x14ac:dyDescent="0.3">
      <c r="A472" t="s">
        <v>1006</v>
      </c>
      <c r="B472" t="s">
        <v>445</v>
      </c>
      <c r="C472" t="s">
        <v>268</v>
      </c>
      <c r="D472" t="s">
        <v>18</v>
      </c>
      <c r="E472" t="s">
        <v>19</v>
      </c>
      <c r="F472" t="s">
        <v>34</v>
      </c>
      <c r="G472" t="s">
        <v>62</v>
      </c>
      <c r="H472" t="s">
        <v>124</v>
      </c>
      <c r="I472">
        <v>3</v>
      </c>
      <c r="J472">
        <v>399.99</v>
      </c>
      <c r="K472">
        <v>0</v>
      </c>
      <c r="L472" t="s">
        <v>37</v>
      </c>
      <c r="M472">
        <v>1199.97</v>
      </c>
      <c r="N472">
        <v>0</v>
      </c>
      <c r="O472">
        <v>1199.97</v>
      </c>
    </row>
    <row r="473" spans="1:15" x14ac:dyDescent="0.3">
      <c r="A473" t="s">
        <v>1007</v>
      </c>
      <c r="B473" t="s">
        <v>148</v>
      </c>
      <c r="C473" t="s">
        <v>1008</v>
      </c>
      <c r="D473" t="s">
        <v>51</v>
      </c>
      <c r="E473" t="s">
        <v>108</v>
      </c>
      <c r="F473" t="s">
        <v>20</v>
      </c>
      <c r="G473" t="s">
        <v>57</v>
      </c>
      <c r="H473" t="s">
        <v>58</v>
      </c>
      <c r="I473">
        <v>3</v>
      </c>
      <c r="J473">
        <v>89.99</v>
      </c>
      <c r="K473">
        <v>0.1</v>
      </c>
      <c r="L473" t="s">
        <v>37</v>
      </c>
      <c r="M473">
        <v>269.97000000000003</v>
      </c>
      <c r="N473">
        <v>27</v>
      </c>
      <c r="O473">
        <v>242.97</v>
      </c>
    </row>
    <row r="474" spans="1:15" x14ac:dyDescent="0.3">
      <c r="A474" t="s">
        <v>1009</v>
      </c>
      <c r="B474" t="s">
        <v>550</v>
      </c>
      <c r="C474" t="s">
        <v>415</v>
      </c>
      <c r="D474" t="s">
        <v>18</v>
      </c>
      <c r="E474" t="s">
        <v>56</v>
      </c>
      <c r="F474" t="s">
        <v>34</v>
      </c>
      <c r="G474" t="s">
        <v>74</v>
      </c>
      <c r="H474" t="s">
        <v>75</v>
      </c>
      <c r="I474">
        <v>6</v>
      </c>
      <c r="J474">
        <v>299.99</v>
      </c>
      <c r="K474">
        <v>0.1</v>
      </c>
      <c r="L474" t="s">
        <v>37</v>
      </c>
      <c r="M474">
        <v>1799.94</v>
      </c>
      <c r="N474">
        <v>179.99</v>
      </c>
      <c r="O474">
        <v>1619.95</v>
      </c>
    </row>
    <row r="475" spans="1:15" x14ac:dyDescent="0.3">
      <c r="A475" t="s">
        <v>1010</v>
      </c>
      <c r="B475" t="s">
        <v>687</v>
      </c>
      <c r="C475" t="s">
        <v>160</v>
      </c>
      <c r="D475" t="s">
        <v>27</v>
      </c>
      <c r="E475" t="s">
        <v>67</v>
      </c>
      <c r="F475" t="s">
        <v>34</v>
      </c>
      <c r="G475" t="s">
        <v>74</v>
      </c>
      <c r="H475" t="s">
        <v>112</v>
      </c>
      <c r="I475">
        <v>2</v>
      </c>
      <c r="J475">
        <v>129.99</v>
      </c>
      <c r="K475">
        <v>0</v>
      </c>
      <c r="L475" t="s">
        <v>37</v>
      </c>
      <c r="M475">
        <v>259.98</v>
      </c>
      <c r="N475">
        <v>0</v>
      </c>
      <c r="O475">
        <v>259.98</v>
      </c>
    </row>
    <row r="476" spans="1:15" x14ac:dyDescent="0.3">
      <c r="A476" t="s">
        <v>1011</v>
      </c>
      <c r="B476" t="s">
        <v>165</v>
      </c>
      <c r="C476" t="s">
        <v>1012</v>
      </c>
      <c r="D476" t="s">
        <v>18</v>
      </c>
      <c r="E476" t="s">
        <v>56</v>
      </c>
      <c r="F476" t="s">
        <v>34</v>
      </c>
      <c r="G476" t="s">
        <v>57</v>
      </c>
      <c r="H476" t="s">
        <v>58</v>
      </c>
      <c r="I476">
        <v>4</v>
      </c>
      <c r="J476">
        <v>89.99</v>
      </c>
      <c r="K476">
        <v>0.05</v>
      </c>
      <c r="L476" t="s">
        <v>23</v>
      </c>
      <c r="M476">
        <v>359.96</v>
      </c>
      <c r="N476">
        <v>18</v>
      </c>
      <c r="O476">
        <v>341.96</v>
      </c>
    </row>
    <row r="477" spans="1:15" x14ac:dyDescent="0.3">
      <c r="A477" t="s">
        <v>1013</v>
      </c>
      <c r="B477" t="s">
        <v>223</v>
      </c>
      <c r="C477" t="s">
        <v>577</v>
      </c>
      <c r="D477" t="s">
        <v>51</v>
      </c>
      <c r="E477" t="s">
        <v>108</v>
      </c>
      <c r="F477" t="s">
        <v>34</v>
      </c>
      <c r="G477" t="s">
        <v>62</v>
      </c>
      <c r="H477" t="s">
        <v>124</v>
      </c>
      <c r="I477">
        <v>3</v>
      </c>
      <c r="J477">
        <v>399.99</v>
      </c>
      <c r="K477">
        <v>0</v>
      </c>
      <c r="L477" t="s">
        <v>80</v>
      </c>
      <c r="M477">
        <v>1199.97</v>
      </c>
      <c r="N477">
        <v>0</v>
      </c>
      <c r="O477">
        <v>1199.97</v>
      </c>
    </row>
    <row r="478" spans="1:15" x14ac:dyDescent="0.3">
      <c r="A478" t="s">
        <v>1014</v>
      </c>
      <c r="B478" t="s">
        <v>1015</v>
      </c>
      <c r="C478" t="s">
        <v>1016</v>
      </c>
      <c r="D478" t="s">
        <v>32</v>
      </c>
      <c r="E478" t="s">
        <v>45</v>
      </c>
      <c r="F478" t="s">
        <v>20</v>
      </c>
      <c r="G478" t="s">
        <v>21</v>
      </c>
      <c r="H478" t="s">
        <v>22</v>
      </c>
      <c r="I478">
        <v>5</v>
      </c>
      <c r="J478">
        <v>89.99</v>
      </c>
      <c r="K478">
        <v>0.1</v>
      </c>
      <c r="L478" t="s">
        <v>80</v>
      </c>
      <c r="M478">
        <v>449.95</v>
      </c>
      <c r="N478">
        <v>45</v>
      </c>
      <c r="O478">
        <v>404.95</v>
      </c>
    </row>
    <row r="479" spans="1:15" x14ac:dyDescent="0.3">
      <c r="A479" t="s">
        <v>1017</v>
      </c>
      <c r="B479" t="s">
        <v>1018</v>
      </c>
      <c r="C479" t="s">
        <v>1019</v>
      </c>
      <c r="D479" t="s">
        <v>32</v>
      </c>
      <c r="E479" t="s">
        <v>33</v>
      </c>
      <c r="F479" t="s">
        <v>20</v>
      </c>
      <c r="G479" t="s">
        <v>62</v>
      </c>
      <c r="H479" t="s">
        <v>249</v>
      </c>
      <c r="I479">
        <v>6</v>
      </c>
      <c r="J479">
        <v>49.99</v>
      </c>
      <c r="K479">
        <v>0</v>
      </c>
      <c r="L479" t="s">
        <v>37</v>
      </c>
      <c r="M479">
        <v>299.94</v>
      </c>
      <c r="N479">
        <v>0</v>
      </c>
      <c r="O479">
        <v>299.94</v>
      </c>
    </row>
    <row r="480" spans="1:15" x14ac:dyDescent="0.3">
      <c r="A480" t="s">
        <v>1020</v>
      </c>
      <c r="B480" t="s">
        <v>1021</v>
      </c>
      <c r="C480" t="s">
        <v>146</v>
      </c>
      <c r="D480" t="s">
        <v>32</v>
      </c>
      <c r="E480" t="s">
        <v>45</v>
      </c>
      <c r="F480" t="s">
        <v>20</v>
      </c>
      <c r="G480" t="s">
        <v>35</v>
      </c>
      <c r="H480" t="s">
        <v>36</v>
      </c>
      <c r="I480">
        <v>4</v>
      </c>
      <c r="J480">
        <v>79.989999999999995</v>
      </c>
      <c r="K480">
        <v>0</v>
      </c>
      <c r="L480" t="s">
        <v>47</v>
      </c>
      <c r="M480">
        <v>319.95999999999998</v>
      </c>
      <c r="N480">
        <v>0</v>
      </c>
      <c r="O480">
        <v>319.95999999999998</v>
      </c>
    </row>
    <row r="481" spans="1:15" x14ac:dyDescent="0.3">
      <c r="A481" t="s">
        <v>1022</v>
      </c>
      <c r="B481" t="s">
        <v>749</v>
      </c>
      <c r="C481" t="s">
        <v>845</v>
      </c>
      <c r="D481" t="s">
        <v>72</v>
      </c>
      <c r="E481" t="s">
        <v>73</v>
      </c>
      <c r="F481" t="s">
        <v>20</v>
      </c>
      <c r="G481" t="s">
        <v>62</v>
      </c>
      <c r="H481" t="s">
        <v>63</v>
      </c>
      <c r="I481">
        <v>2</v>
      </c>
      <c r="J481">
        <v>199.99</v>
      </c>
      <c r="K481">
        <v>0.1</v>
      </c>
      <c r="L481" t="s">
        <v>23</v>
      </c>
      <c r="M481">
        <v>399.98</v>
      </c>
      <c r="N481">
        <v>40</v>
      </c>
      <c r="O481">
        <v>359.98</v>
      </c>
    </row>
    <row r="482" spans="1:15" x14ac:dyDescent="0.3">
      <c r="A482" t="s">
        <v>1023</v>
      </c>
      <c r="B482" t="s">
        <v>97</v>
      </c>
      <c r="C482" t="s">
        <v>453</v>
      </c>
      <c r="D482" t="s">
        <v>51</v>
      </c>
      <c r="E482" t="s">
        <v>52</v>
      </c>
      <c r="F482" t="s">
        <v>20</v>
      </c>
      <c r="G482" t="s">
        <v>57</v>
      </c>
      <c r="H482" t="s">
        <v>300</v>
      </c>
      <c r="I482">
        <v>2</v>
      </c>
      <c r="J482">
        <v>179.99</v>
      </c>
      <c r="K482">
        <v>0</v>
      </c>
      <c r="L482" t="s">
        <v>80</v>
      </c>
      <c r="M482">
        <v>359.98</v>
      </c>
      <c r="N482">
        <v>0</v>
      </c>
      <c r="O482">
        <v>359.98</v>
      </c>
    </row>
    <row r="483" spans="1:15" x14ac:dyDescent="0.3">
      <c r="A483" t="s">
        <v>1024</v>
      </c>
      <c r="B483" t="s">
        <v>935</v>
      </c>
      <c r="C483" t="s">
        <v>612</v>
      </c>
      <c r="D483" t="s">
        <v>72</v>
      </c>
      <c r="E483" t="s">
        <v>152</v>
      </c>
      <c r="F483" t="s">
        <v>34</v>
      </c>
      <c r="G483" t="s">
        <v>35</v>
      </c>
      <c r="H483" t="s">
        <v>134</v>
      </c>
      <c r="I483">
        <v>4</v>
      </c>
      <c r="J483">
        <v>139.99</v>
      </c>
      <c r="K483">
        <v>0</v>
      </c>
      <c r="L483" t="s">
        <v>80</v>
      </c>
      <c r="M483">
        <v>559.96</v>
      </c>
      <c r="N483">
        <v>0</v>
      </c>
      <c r="O483">
        <v>559.96</v>
      </c>
    </row>
    <row r="484" spans="1:15" x14ac:dyDescent="0.3">
      <c r="A484" t="s">
        <v>1025</v>
      </c>
      <c r="B484" t="s">
        <v>640</v>
      </c>
      <c r="C484" t="s">
        <v>928</v>
      </c>
      <c r="D484" t="s">
        <v>18</v>
      </c>
      <c r="E484" t="s">
        <v>19</v>
      </c>
      <c r="F484" t="s">
        <v>20</v>
      </c>
      <c r="G484" t="s">
        <v>62</v>
      </c>
      <c r="H484" t="s">
        <v>249</v>
      </c>
      <c r="I484">
        <v>4</v>
      </c>
      <c r="J484">
        <v>49.99</v>
      </c>
      <c r="K484">
        <v>0.15</v>
      </c>
      <c r="L484" t="s">
        <v>37</v>
      </c>
      <c r="M484">
        <v>199.96</v>
      </c>
      <c r="N484">
        <v>29.99</v>
      </c>
      <c r="O484">
        <v>169.97</v>
      </c>
    </row>
    <row r="485" spans="1:15" x14ac:dyDescent="0.3">
      <c r="A485" t="s">
        <v>1026</v>
      </c>
      <c r="B485" t="s">
        <v>743</v>
      </c>
      <c r="C485" t="s">
        <v>491</v>
      </c>
      <c r="D485" t="s">
        <v>32</v>
      </c>
      <c r="E485" t="s">
        <v>33</v>
      </c>
      <c r="F485" t="s">
        <v>34</v>
      </c>
      <c r="G485" t="s">
        <v>74</v>
      </c>
      <c r="H485" t="s">
        <v>112</v>
      </c>
      <c r="I485">
        <v>3</v>
      </c>
      <c r="J485">
        <v>129.99</v>
      </c>
      <c r="K485">
        <v>0</v>
      </c>
      <c r="L485" t="s">
        <v>80</v>
      </c>
      <c r="M485">
        <v>389.97</v>
      </c>
      <c r="N485">
        <v>0</v>
      </c>
      <c r="O485">
        <v>389.97</v>
      </c>
    </row>
    <row r="486" spans="1:15" x14ac:dyDescent="0.3">
      <c r="A486" t="s">
        <v>1027</v>
      </c>
      <c r="B486" t="s">
        <v>308</v>
      </c>
      <c r="C486" t="s">
        <v>466</v>
      </c>
      <c r="D486" t="s">
        <v>72</v>
      </c>
      <c r="E486" t="s">
        <v>73</v>
      </c>
      <c r="F486" t="s">
        <v>34</v>
      </c>
      <c r="G486" t="s">
        <v>62</v>
      </c>
      <c r="H486" t="s">
        <v>63</v>
      </c>
      <c r="I486">
        <v>2</v>
      </c>
      <c r="J486">
        <v>199.99</v>
      </c>
      <c r="K486">
        <v>0</v>
      </c>
      <c r="L486" t="s">
        <v>47</v>
      </c>
      <c r="M486">
        <v>399.98</v>
      </c>
      <c r="N486">
        <v>0</v>
      </c>
      <c r="O486">
        <v>399.98</v>
      </c>
    </row>
    <row r="487" spans="1:15" x14ac:dyDescent="0.3">
      <c r="A487" t="s">
        <v>1028</v>
      </c>
      <c r="B487" t="s">
        <v>1029</v>
      </c>
      <c r="C487" t="s">
        <v>129</v>
      </c>
      <c r="D487" t="s">
        <v>51</v>
      </c>
      <c r="E487" t="s">
        <v>52</v>
      </c>
      <c r="F487" t="s">
        <v>20</v>
      </c>
      <c r="G487" t="s">
        <v>35</v>
      </c>
      <c r="H487" t="s">
        <v>41</v>
      </c>
      <c r="I487">
        <v>5</v>
      </c>
      <c r="J487">
        <v>104.99</v>
      </c>
      <c r="K487">
        <v>0.15</v>
      </c>
      <c r="L487" t="s">
        <v>23</v>
      </c>
      <c r="M487">
        <v>524.95000000000005</v>
      </c>
      <c r="N487">
        <v>78.739999999999995</v>
      </c>
      <c r="O487">
        <v>446.21</v>
      </c>
    </row>
    <row r="488" spans="1:15" x14ac:dyDescent="0.3">
      <c r="A488" t="s">
        <v>1030</v>
      </c>
      <c r="B488" t="s">
        <v>1031</v>
      </c>
      <c r="C488" t="s">
        <v>981</v>
      </c>
      <c r="D488" t="s">
        <v>72</v>
      </c>
      <c r="E488" t="s">
        <v>152</v>
      </c>
      <c r="F488" t="s">
        <v>34</v>
      </c>
      <c r="G488" t="s">
        <v>57</v>
      </c>
      <c r="H488" t="s">
        <v>300</v>
      </c>
      <c r="I488">
        <v>4</v>
      </c>
      <c r="J488">
        <v>179.99</v>
      </c>
      <c r="K488">
        <v>0</v>
      </c>
      <c r="L488" t="s">
        <v>80</v>
      </c>
      <c r="M488">
        <v>719.96</v>
      </c>
      <c r="N488">
        <v>0</v>
      </c>
      <c r="O488">
        <v>719.96</v>
      </c>
    </row>
    <row r="489" spans="1:15" x14ac:dyDescent="0.3">
      <c r="A489" t="s">
        <v>1032</v>
      </c>
      <c r="B489" t="s">
        <v>899</v>
      </c>
      <c r="C489" t="s">
        <v>1033</v>
      </c>
      <c r="D489" t="s">
        <v>51</v>
      </c>
      <c r="E489" t="s">
        <v>108</v>
      </c>
      <c r="F489" t="s">
        <v>20</v>
      </c>
      <c r="G489" t="s">
        <v>35</v>
      </c>
      <c r="H489" t="s">
        <v>199</v>
      </c>
      <c r="I489">
        <v>2</v>
      </c>
      <c r="J489">
        <v>99.99</v>
      </c>
      <c r="K489">
        <v>0.15</v>
      </c>
      <c r="L489" t="s">
        <v>80</v>
      </c>
      <c r="M489">
        <v>199.98</v>
      </c>
      <c r="N489">
        <v>30</v>
      </c>
      <c r="O489">
        <v>169.98</v>
      </c>
    </row>
    <row r="490" spans="1:15" x14ac:dyDescent="0.3">
      <c r="A490" t="s">
        <v>1034</v>
      </c>
      <c r="B490" t="s">
        <v>273</v>
      </c>
      <c r="C490" t="s">
        <v>92</v>
      </c>
      <c r="D490" t="s">
        <v>51</v>
      </c>
      <c r="E490" t="s">
        <v>52</v>
      </c>
      <c r="F490" t="s">
        <v>34</v>
      </c>
      <c r="G490" t="s">
        <v>35</v>
      </c>
      <c r="H490" t="s">
        <v>134</v>
      </c>
      <c r="I490">
        <v>5</v>
      </c>
      <c r="J490">
        <v>139.99</v>
      </c>
      <c r="K490">
        <v>0.1</v>
      </c>
      <c r="L490" t="s">
        <v>80</v>
      </c>
      <c r="M490">
        <v>699.95</v>
      </c>
      <c r="N490">
        <v>70</v>
      </c>
      <c r="O490">
        <v>629.95000000000005</v>
      </c>
    </row>
    <row r="491" spans="1:15" x14ac:dyDescent="0.3">
      <c r="A491" t="s">
        <v>1035</v>
      </c>
      <c r="B491" t="s">
        <v>849</v>
      </c>
      <c r="C491" t="s">
        <v>438</v>
      </c>
      <c r="D491" t="s">
        <v>32</v>
      </c>
      <c r="E491" t="s">
        <v>33</v>
      </c>
      <c r="F491" t="s">
        <v>34</v>
      </c>
      <c r="G491" t="s">
        <v>35</v>
      </c>
      <c r="H491" t="s">
        <v>36</v>
      </c>
      <c r="I491">
        <v>4</v>
      </c>
      <c r="J491">
        <v>79.989999999999995</v>
      </c>
      <c r="K491">
        <v>0</v>
      </c>
      <c r="L491" t="s">
        <v>47</v>
      </c>
      <c r="M491">
        <v>319.95999999999998</v>
      </c>
      <c r="N491">
        <v>0</v>
      </c>
      <c r="O491">
        <v>319.95999999999998</v>
      </c>
    </row>
    <row r="492" spans="1:15" x14ac:dyDescent="0.3">
      <c r="A492" t="s">
        <v>1036</v>
      </c>
      <c r="B492" t="s">
        <v>778</v>
      </c>
      <c r="C492" t="s">
        <v>323</v>
      </c>
      <c r="D492" t="s">
        <v>32</v>
      </c>
      <c r="E492" t="s">
        <v>33</v>
      </c>
      <c r="F492" t="s">
        <v>34</v>
      </c>
      <c r="G492" t="s">
        <v>62</v>
      </c>
      <c r="H492" t="s">
        <v>63</v>
      </c>
      <c r="I492">
        <v>2</v>
      </c>
      <c r="J492">
        <v>199.99</v>
      </c>
      <c r="K492">
        <v>0.15</v>
      </c>
      <c r="L492" t="s">
        <v>80</v>
      </c>
      <c r="M492">
        <v>399.98</v>
      </c>
      <c r="N492">
        <v>60</v>
      </c>
      <c r="O492">
        <v>339.98</v>
      </c>
    </row>
    <row r="493" spans="1:15" x14ac:dyDescent="0.3">
      <c r="A493" t="s">
        <v>1037</v>
      </c>
      <c r="B493" t="s">
        <v>823</v>
      </c>
      <c r="C493" t="s">
        <v>392</v>
      </c>
      <c r="D493" t="s">
        <v>72</v>
      </c>
      <c r="E493" t="s">
        <v>73</v>
      </c>
      <c r="F493" t="s">
        <v>34</v>
      </c>
      <c r="G493" t="s">
        <v>35</v>
      </c>
      <c r="H493" t="s">
        <v>36</v>
      </c>
      <c r="I493">
        <v>1</v>
      </c>
      <c r="J493">
        <v>79.989999999999995</v>
      </c>
      <c r="K493">
        <v>0</v>
      </c>
      <c r="L493" t="s">
        <v>47</v>
      </c>
      <c r="M493">
        <v>79.989999999999995</v>
      </c>
      <c r="N493">
        <v>0</v>
      </c>
      <c r="O493">
        <v>79.989999999999995</v>
      </c>
    </row>
    <row r="494" spans="1:15" x14ac:dyDescent="0.3">
      <c r="A494" t="s">
        <v>1038</v>
      </c>
      <c r="B494" t="s">
        <v>179</v>
      </c>
      <c r="C494" t="s">
        <v>360</v>
      </c>
      <c r="D494" t="s">
        <v>51</v>
      </c>
      <c r="E494" t="s">
        <v>52</v>
      </c>
      <c r="F494" t="s">
        <v>20</v>
      </c>
      <c r="G494" t="s">
        <v>62</v>
      </c>
      <c r="H494" t="s">
        <v>124</v>
      </c>
      <c r="I494">
        <v>5</v>
      </c>
      <c r="J494">
        <v>399.99</v>
      </c>
      <c r="K494">
        <v>0.1</v>
      </c>
      <c r="L494" t="s">
        <v>80</v>
      </c>
      <c r="M494">
        <v>1999.95</v>
      </c>
      <c r="N494">
        <v>200</v>
      </c>
      <c r="O494">
        <v>1799.95</v>
      </c>
    </row>
    <row r="495" spans="1:15" x14ac:dyDescent="0.3">
      <c r="A495" t="s">
        <v>1039</v>
      </c>
      <c r="B495" t="s">
        <v>428</v>
      </c>
      <c r="C495" t="s">
        <v>392</v>
      </c>
      <c r="D495" t="s">
        <v>51</v>
      </c>
      <c r="E495" t="s">
        <v>108</v>
      </c>
      <c r="F495" t="s">
        <v>34</v>
      </c>
      <c r="G495" t="s">
        <v>74</v>
      </c>
      <c r="H495" t="s">
        <v>143</v>
      </c>
      <c r="I495">
        <v>6</v>
      </c>
      <c r="J495">
        <v>99.99</v>
      </c>
      <c r="K495">
        <v>0.15</v>
      </c>
      <c r="L495" t="s">
        <v>37</v>
      </c>
      <c r="M495">
        <v>599.94000000000005</v>
      </c>
      <c r="N495">
        <v>89.99</v>
      </c>
      <c r="O495">
        <v>509.95</v>
      </c>
    </row>
    <row r="496" spans="1:15" x14ac:dyDescent="0.3">
      <c r="A496" t="s">
        <v>1040</v>
      </c>
      <c r="B496" t="s">
        <v>387</v>
      </c>
      <c r="C496" t="s">
        <v>1041</v>
      </c>
      <c r="D496" t="s">
        <v>51</v>
      </c>
      <c r="E496" t="s">
        <v>52</v>
      </c>
      <c r="F496" t="s">
        <v>20</v>
      </c>
      <c r="G496" t="s">
        <v>21</v>
      </c>
      <c r="H496" t="s">
        <v>46</v>
      </c>
      <c r="I496">
        <v>4</v>
      </c>
      <c r="J496">
        <v>119.99</v>
      </c>
      <c r="K496">
        <v>0</v>
      </c>
      <c r="L496" t="s">
        <v>23</v>
      </c>
      <c r="M496">
        <v>479.96</v>
      </c>
      <c r="N496">
        <v>0</v>
      </c>
      <c r="O496">
        <v>479.96</v>
      </c>
    </row>
    <row r="497" spans="1:15" x14ac:dyDescent="0.3">
      <c r="A497" t="s">
        <v>1042</v>
      </c>
      <c r="B497" t="s">
        <v>648</v>
      </c>
      <c r="C497" t="s">
        <v>360</v>
      </c>
      <c r="D497" t="s">
        <v>72</v>
      </c>
      <c r="E497" t="s">
        <v>73</v>
      </c>
      <c r="F497" t="s">
        <v>34</v>
      </c>
      <c r="G497" t="s">
        <v>35</v>
      </c>
      <c r="H497" t="s">
        <v>134</v>
      </c>
      <c r="I497">
        <v>1</v>
      </c>
      <c r="J497">
        <v>139.99</v>
      </c>
      <c r="K497">
        <v>0</v>
      </c>
      <c r="L497" t="s">
        <v>37</v>
      </c>
      <c r="M497">
        <v>139.99</v>
      </c>
      <c r="N497">
        <v>0</v>
      </c>
      <c r="O497">
        <v>139.99</v>
      </c>
    </row>
    <row r="498" spans="1:15" x14ac:dyDescent="0.3">
      <c r="A498" t="s">
        <v>1043</v>
      </c>
      <c r="B498" t="s">
        <v>211</v>
      </c>
      <c r="C498" t="s">
        <v>203</v>
      </c>
      <c r="D498" t="s">
        <v>27</v>
      </c>
      <c r="E498" t="s">
        <v>123</v>
      </c>
      <c r="F498" t="s">
        <v>34</v>
      </c>
      <c r="G498" t="s">
        <v>35</v>
      </c>
      <c r="H498" t="s">
        <v>199</v>
      </c>
      <c r="I498">
        <v>5</v>
      </c>
      <c r="J498">
        <v>99.99</v>
      </c>
      <c r="K498">
        <v>0</v>
      </c>
      <c r="L498" t="s">
        <v>47</v>
      </c>
      <c r="M498">
        <v>499.95</v>
      </c>
      <c r="N498">
        <v>0</v>
      </c>
      <c r="O498">
        <v>499.95</v>
      </c>
    </row>
    <row r="499" spans="1:15" x14ac:dyDescent="0.3">
      <c r="A499" t="s">
        <v>1044</v>
      </c>
      <c r="B499" t="s">
        <v>455</v>
      </c>
      <c r="C499" t="s">
        <v>908</v>
      </c>
      <c r="D499" t="s">
        <v>18</v>
      </c>
      <c r="E499" t="s">
        <v>19</v>
      </c>
      <c r="F499" t="s">
        <v>34</v>
      </c>
      <c r="G499" t="s">
        <v>57</v>
      </c>
      <c r="H499" t="s">
        <v>130</v>
      </c>
      <c r="I499">
        <v>2</v>
      </c>
      <c r="J499">
        <v>109.99</v>
      </c>
      <c r="K499">
        <v>0.05</v>
      </c>
      <c r="L499" t="s">
        <v>37</v>
      </c>
      <c r="M499">
        <v>219.98</v>
      </c>
      <c r="N499">
        <v>11</v>
      </c>
      <c r="O499">
        <v>208.98</v>
      </c>
    </row>
    <row r="500" spans="1:15" x14ac:dyDescent="0.3">
      <c r="A500" t="s">
        <v>1045</v>
      </c>
      <c r="B500" t="s">
        <v>596</v>
      </c>
      <c r="C500" t="s">
        <v>734</v>
      </c>
      <c r="D500" t="s">
        <v>32</v>
      </c>
      <c r="E500" t="s">
        <v>33</v>
      </c>
      <c r="F500" t="s">
        <v>20</v>
      </c>
      <c r="G500" t="s">
        <v>62</v>
      </c>
      <c r="H500" t="s">
        <v>79</v>
      </c>
      <c r="I500">
        <v>5</v>
      </c>
      <c r="J500">
        <v>249.99</v>
      </c>
      <c r="K500">
        <v>0</v>
      </c>
      <c r="L500" t="s">
        <v>23</v>
      </c>
      <c r="M500">
        <v>1249.95</v>
      </c>
      <c r="N500">
        <v>0</v>
      </c>
      <c r="O500">
        <v>1249.95</v>
      </c>
    </row>
    <row r="501" spans="1:15" x14ac:dyDescent="0.3">
      <c r="A501" t="s">
        <v>1046</v>
      </c>
      <c r="B501" t="s">
        <v>251</v>
      </c>
      <c r="C501" t="s">
        <v>1047</v>
      </c>
      <c r="D501" t="s">
        <v>51</v>
      </c>
      <c r="E501" t="s">
        <v>52</v>
      </c>
      <c r="F501" t="s">
        <v>34</v>
      </c>
      <c r="G501" t="s">
        <v>62</v>
      </c>
      <c r="H501" t="s">
        <v>79</v>
      </c>
      <c r="I501">
        <v>5</v>
      </c>
      <c r="J501">
        <v>249.99</v>
      </c>
      <c r="K501">
        <v>0.1</v>
      </c>
      <c r="L501" t="s">
        <v>37</v>
      </c>
      <c r="M501">
        <v>1249.95</v>
      </c>
      <c r="N501">
        <v>125</v>
      </c>
      <c r="O501">
        <v>1124.95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CD3D-A6F0-42B7-9228-F43300554357}">
  <dimension ref="A3:B9"/>
  <sheetViews>
    <sheetView workbookViewId="0">
      <selection activeCell="D4" sqref="D4"/>
    </sheetView>
  </sheetViews>
  <sheetFormatPr defaultRowHeight="14.4" x14ac:dyDescent="0.3"/>
  <cols>
    <col min="1" max="1" width="10.77734375" bestFit="1" customWidth="1"/>
    <col min="2" max="2" width="20.21875" bestFit="1" customWidth="1"/>
  </cols>
  <sheetData>
    <row r="3" spans="1:2" x14ac:dyDescent="0.3">
      <c r="A3" s="12" t="s">
        <v>6</v>
      </c>
      <c r="B3" t="s">
        <v>1083</v>
      </c>
    </row>
    <row r="4" spans="1:2" x14ac:dyDescent="0.3">
      <c r="A4" s="13" t="s">
        <v>62</v>
      </c>
      <c r="B4" s="3">
        <v>69827.100000000006</v>
      </c>
    </row>
    <row r="5" spans="1:2" x14ac:dyDescent="0.3">
      <c r="A5" s="13" t="s">
        <v>74</v>
      </c>
      <c r="B5" s="3">
        <v>63075.259999999973</v>
      </c>
    </row>
    <row r="6" spans="1:2" x14ac:dyDescent="0.3">
      <c r="A6" s="13" t="s">
        <v>35</v>
      </c>
      <c r="B6" s="3">
        <v>35238.229999999996</v>
      </c>
    </row>
    <row r="7" spans="1:2" x14ac:dyDescent="0.3">
      <c r="A7" s="13" t="s">
        <v>57</v>
      </c>
      <c r="B7" s="3">
        <v>42069.25</v>
      </c>
    </row>
    <row r="8" spans="1:2" x14ac:dyDescent="0.3">
      <c r="A8" s="13" t="s">
        <v>21</v>
      </c>
      <c r="B8" s="3">
        <v>39352.629999999997</v>
      </c>
    </row>
    <row r="9" spans="1:2" x14ac:dyDescent="0.3">
      <c r="A9" s="13" t="s">
        <v>1082</v>
      </c>
      <c r="B9" s="18">
        <v>249562.46999999997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BBDF-7334-42C1-A19D-98B2A49AD7D2}">
  <dimension ref="A3:B23"/>
  <sheetViews>
    <sheetView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3" spans="1:2" x14ac:dyDescent="0.3">
      <c r="A3" s="12" t="s">
        <v>7</v>
      </c>
      <c r="B3" t="s">
        <v>1083</v>
      </c>
    </row>
    <row r="4" spans="1:2" x14ac:dyDescent="0.3">
      <c r="A4" s="13" t="s">
        <v>130</v>
      </c>
      <c r="B4" s="3">
        <v>9327.1299999999974</v>
      </c>
    </row>
    <row r="5" spans="1:2" x14ac:dyDescent="0.3">
      <c r="A5" s="13" t="s">
        <v>143</v>
      </c>
      <c r="B5" s="3">
        <v>8974.07</v>
      </c>
    </row>
    <row r="6" spans="1:2" x14ac:dyDescent="0.3">
      <c r="A6" s="13" t="s">
        <v>112</v>
      </c>
      <c r="B6" s="3">
        <v>21357.310000000005</v>
      </c>
    </row>
    <row r="7" spans="1:2" x14ac:dyDescent="0.3">
      <c r="A7" s="13" t="s">
        <v>41</v>
      </c>
      <c r="B7" s="3">
        <v>7611.75</v>
      </c>
    </row>
    <row r="8" spans="1:2" x14ac:dyDescent="0.3">
      <c r="A8" s="13" t="s">
        <v>36</v>
      </c>
      <c r="B8" s="3">
        <v>4891.3799999999992</v>
      </c>
    </row>
    <row r="9" spans="1:2" x14ac:dyDescent="0.3">
      <c r="A9" s="13" t="s">
        <v>22</v>
      </c>
      <c r="B9" s="3">
        <v>9772.8799999999974</v>
      </c>
    </row>
    <row r="10" spans="1:2" x14ac:dyDescent="0.3">
      <c r="A10" s="13" t="s">
        <v>300</v>
      </c>
      <c r="B10" s="3">
        <v>10736.39</v>
      </c>
    </row>
    <row r="11" spans="1:2" x14ac:dyDescent="0.3">
      <c r="A11" s="13" t="s">
        <v>46</v>
      </c>
      <c r="B11" s="3">
        <v>10373.119999999997</v>
      </c>
    </row>
    <row r="12" spans="1:2" x14ac:dyDescent="0.3">
      <c r="A12" s="13" t="s">
        <v>249</v>
      </c>
      <c r="B12" s="3">
        <v>3016.8899999999994</v>
      </c>
    </row>
    <row r="13" spans="1:2" x14ac:dyDescent="0.3">
      <c r="A13" s="13" t="s">
        <v>134</v>
      </c>
      <c r="B13" s="3">
        <v>13900.990000000003</v>
      </c>
    </row>
    <row r="14" spans="1:2" x14ac:dyDescent="0.3">
      <c r="A14" s="13" t="s">
        <v>124</v>
      </c>
      <c r="B14" s="3">
        <v>36859.07</v>
      </c>
    </row>
    <row r="15" spans="1:2" x14ac:dyDescent="0.3">
      <c r="A15" s="13" t="s">
        <v>79</v>
      </c>
      <c r="B15" s="3">
        <v>16061.84</v>
      </c>
    </row>
    <row r="16" spans="1:2" x14ac:dyDescent="0.3">
      <c r="A16" s="13" t="s">
        <v>58</v>
      </c>
      <c r="B16" s="3">
        <v>13444.459999999994</v>
      </c>
    </row>
    <row r="17" spans="1:2" x14ac:dyDescent="0.3">
      <c r="A17" s="13" t="s">
        <v>189</v>
      </c>
      <c r="B17" s="3">
        <v>8561.2699999999986</v>
      </c>
    </row>
    <row r="18" spans="1:2" x14ac:dyDescent="0.3">
      <c r="A18" s="13" t="s">
        <v>68</v>
      </c>
      <c r="B18" s="3">
        <v>7064.9499999999989</v>
      </c>
    </row>
    <row r="19" spans="1:2" x14ac:dyDescent="0.3">
      <c r="A19" s="13" t="s">
        <v>75</v>
      </c>
      <c r="B19" s="3">
        <v>32743.880000000012</v>
      </c>
    </row>
    <row r="20" spans="1:2" x14ac:dyDescent="0.3">
      <c r="A20" s="13" t="s">
        <v>199</v>
      </c>
      <c r="B20" s="3">
        <v>8834.1099999999988</v>
      </c>
    </row>
    <row r="21" spans="1:2" x14ac:dyDescent="0.3">
      <c r="A21" s="13" t="s">
        <v>63</v>
      </c>
      <c r="B21" s="3">
        <v>13889.299999999997</v>
      </c>
    </row>
    <row r="22" spans="1:2" x14ac:dyDescent="0.3">
      <c r="A22" s="13" t="s">
        <v>87</v>
      </c>
      <c r="B22" s="3">
        <v>12141.680000000002</v>
      </c>
    </row>
    <row r="23" spans="1:2" x14ac:dyDescent="0.3">
      <c r="A23" s="13" t="s">
        <v>1082</v>
      </c>
      <c r="B23" s="18">
        <v>249562.46999999997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FD70-87FC-4890-A4B0-B869193F0A43}">
  <dimension ref="A3:B9"/>
  <sheetViews>
    <sheetView workbookViewId="0">
      <selection activeCell="B9" sqref="B9"/>
    </sheetView>
  </sheetViews>
  <sheetFormatPr defaultRowHeight="14.4" x14ac:dyDescent="0.3"/>
  <cols>
    <col min="1" max="1" width="12.88671875" bestFit="1" customWidth="1"/>
    <col min="2" max="2" width="20.21875" bestFit="1" customWidth="1"/>
  </cols>
  <sheetData>
    <row r="3" spans="1:2" x14ac:dyDescent="0.3">
      <c r="A3" s="12" t="s">
        <v>3</v>
      </c>
      <c r="B3" t="s">
        <v>1083</v>
      </c>
    </row>
    <row r="4" spans="1:2" x14ac:dyDescent="0.3">
      <c r="A4" s="13" t="s">
        <v>72</v>
      </c>
      <c r="B4" s="3">
        <v>58896.689999999988</v>
      </c>
    </row>
    <row r="5" spans="1:2" x14ac:dyDescent="0.3">
      <c r="A5" s="13" t="s">
        <v>27</v>
      </c>
      <c r="B5" s="3">
        <v>42602.020000000004</v>
      </c>
    </row>
    <row r="6" spans="1:2" x14ac:dyDescent="0.3">
      <c r="A6" s="13" t="s">
        <v>18</v>
      </c>
      <c r="B6" s="3">
        <v>56487.23</v>
      </c>
    </row>
    <row r="7" spans="1:2" x14ac:dyDescent="0.3">
      <c r="A7" s="13" t="s">
        <v>32</v>
      </c>
      <c r="B7" s="3">
        <v>43795.06</v>
      </c>
    </row>
    <row r="8" spans="1:2" x14ac:dyDescent="0.3">
      <c r="A8" s="13" t="s">
        <v>51</v>
      </c>
      <c r="B8" s="3">
        <v>47781.47</v>
      </c>
    </row>
    <row r="9" spans="1:2" x14ac:dyDescent="0.3">
      <c r="A9" s="13" t="s">
        <v>1082</v>
      </c>
      <c r="B9" s="18">
        <v>249562.47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A036-99F8-45E2-BDE0-D806E6C49959}">
  <dimension ref="A3:B16"/>
  <sheetViews>
    <sheetView workbookViewId="0">
      <selection activeCell="B16" sqref="B16"/>
    </sheetView>
  </sheetViews>
  <sheetFormatPr defaultRowHeight="14.4" x14ac:dyDescent="0.3"/>
  <cols>
    <col min="1" max="1" width="10.77734375" bestFit="1" customWidth="1"/>
    <col min="2" max="2" width="20.21875" bestFit="1" customWidth="1"/>
  </cols>
  <sheetData>
    <row r="3" spans="1:2" x14ac:dyDescent="0.3">
      <c r="A3" s="12" t="s">
        <v>1093</v>
      </c>
      <c r="B3" t="s">
        <v>1083</v>
      </c>
    </row>
    <row r="4" spans="1:2" x14ac:dyDescent="0.3">
      <c r="A4" s="13" t="s">
        <v>1104</v>
      </c>
      <c r="B4" s="3">
        <v>15568.129999999997</v>
      </c>
    </row>
    <row r="5" spans="1:2" x14ac:dyDescent="0.3">
      <c r="A5" s="13" t="s">
        <v>1094</v>
      </c>
      <c r="B5" s="3">
        <v>23824.290000000008</v>
      </c>
    </row>
    <row r="6" spans="1:2" x14ac:dyDescent="0.3">
      <c r="A6" s="13" t="s">
        <v>1100</v>
      </c>
      <c r="B6" s="3">
        <v>18521.619999999995</v>
      </c>
    </row>
    <row r="7" spans="1:2" x14ac:dyDescent="0.3">
      <c r="A7" s="13" t="s">
        <v>1103</v>
      </c>
      <c r="B7" s="3">
        <v>15140.379999999994</v>
      </c>
    </row>
    <row r="8" spans="1:2" x14ac:dyDescent="0.3">
      <c r="A8" s="13" t="s">
        <v>1098</v>
      </c>
      <c r="B8" s="3">
        <v>15042.909999999996</v>
      </c>
    </row>
    <row r="9" spans="1:2" x14ac:dyDescent="0.3">
      <c r="A9" s="13" t="s">
        <v>1105</v>
      </c>
      <c r="B9" s="3">
        <v>15880.189999999993</v>
      </c>
    </row>
    <row r="10" spans="1:2" x14ac:dyDescent="0.3">
      <c r="A10" s="13" t="s">
        <v>1101</v>
      </c>
      <c r="B10" s="3">
        <v>23568</v>
      </c>
    </row>
    <row r="11" spans="1:2" x14ac:dyDescent="0.3">
      <c r="A11" s="13" t="s">
        <v>1102</v>
      </c>
      <c r="B11" s="3">
        <v>23280.46</v>
      </c>
    </row>
    <row r="12" spans="1:2" x14ac:dyDescent="0.3">
      <c r="A12" s="13" t="s">
        <v>1099</v>
      </c>
      <c r="B12" s="3">
        <v>24168.060000000009</v>
      </c>
    </row>
    <row r="13" spans="1:2" x14ac:dyDescent="0.3">
      <c r="A13" s="13" t="s">
        <v>1097</v>
      </c>
      <c r="B13" s="3">
        <v>23637.869999999995</v>
      </c>
    </row>
    <row r="14" spans="1:2" x14ac:dyDescent="0.3">
      <c r="A14" s="13" t="s">
        <v>1095</v>
      </c>
      <c r="B14" s="3">
        <v>26127.170000000009</v>
      </c>
    </row>
    <row r="15" spans="1:2" x14ac:dyDescent="0.3">
      <c r="A15" s="13" t="s">
        <v>1096</v>
      </c>
      <c r="B15" s="3">
        <v>24803.39</v>
      </c>
    </row>
    <row r="16" spans="1:2" x14ac:dyDescent="0.3">
      <c r="A16" s="13" t="s">
        <v>1082</v>
      </c>
      <c r="B16" s="17">
        <v>249562.46999999997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CCE8-9066-458D-B7ED-890DCBC723C9}">
  <dimension ref="A1:P516"/>
  <sheetViews>
    <sheetView topLeftCell="A483" workbookViewId="0">
      <selection activeCell="C3" sqref="C3"/>
    </sheetView>
  </sheetViews>
  <sheetFormatPr defaultRowHeight="14.4" x14ac:dyDescent="0.3"/>
  <cols>
    <col min="1" max="1" width="10.44140625" style="3" customWidth="1"/>
    <col min="2" max="2" width="12.5546875" style="3" customWidth="1"/>
    <col min="3" max="3" width="13.77734375" style="3" customWidth="1"/>
    <col min="4" max="4" width="12.88671875" style="3" bestFit="1" customWidth="1"/>
    <col min="5" max="5" width="14.5546875" style="3" bestFit="1" customWidth="1"/>
    <col min="6" max="6" width="15" style="3" customWidth="1"/>
    <col min="7" max="7" width="10.44140625" style="3" bestFit="1" customWidth="1"/>
    <col min="8" max="8" width="12.5546875" style="3" bestFit="1" customWidth="1"/>
    <col min="9" max="9" width="10.21875" style="5" customWidth="1"/>
    <col min="10" max="10" width="15.88671875" style="3" customWidth="1"/>
    <col min="11" max="11" width="10.21875" style="7" customWidth="1"/>
    <col min="12" max="12" width="18.21875" style="3" customWidth="1"/>
    <col min="13" max="13" width="17" style="3" customWidth="1"/>
    <col min="14" max="14" width="22.44140625" style="3" customWidth="1"/>
    <col min="15" max="15" width="15.44140625" style="3" customWidth="1"/>
    <col min="16" max="16384" width="8.88671875" style="3"/>
  </cols>
  <sheetData>
    <row r="1" spans="1:16" s="2" customFormat="1" x14ac:dyDescent="0.3">
      <c r="A1" s="2" t="s">
        <v>0</v>
      </c>
      <c r="B1" s="2" t="s">
        <v>1</v>
      </c>
      <c r="C1" s="2" t="s">
        <v>1093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6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3" t="s">
        <v>15</v>
      </c>
      <c r="B2" s="15">
        <v>45710</v>
      </c>
      <c r="C2" s="15" t="str">
        <f t="shared" ref="C2:C65" si="0">TEXT(B2,"mmmm")</f>
        <v>February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2</v>
      </c>
      <c r="K2" s="3">
        <v>89.99</v>
      </c>
      <c r="L2" s="7">
        <v>0</v>
      </c>
      <c r="M2" s="3" t="s">
        <v>23</v>
      </c>
      <c r="N2" s="3">
        <v>179.98</v>
      </c>
      <c r="O2" s="3">
        <v>0</v>
      </c>
      <c r="P2" s="3">
        <v>179.98</v>
      </c>
    </row>
    <row r="3" spans="1:16" x14ac:dyDescent="0.3">
      <c r="A3" s="3" t="s">
        <v>24</v>
      </c>
      <c r="B3" s="15">
        <v>45966</v>
      </c>
      <c r="C3" s="15" t="str">
        <f t="shared" si="0"/>
        <v>November</v>
      </c>
      <c r="D3" s="3" t="s">
        <v>26</v>
      </c>
      <c r="E3" s="3" t="s">
        <v>27</v>
      </c>
      <c r="F3" s="3" t="s">
        <v>28</v>
      </c>
      <c r="G3" s="3" t="s">
        <v>20</v>
      </c>
      <c r="H3" s="3" t="s">
        <v>21</v>
      </c>
      <c r="I3" s="3" t="s">
        <v>22</v>
      </c>
      <c r="J3" s="5">
        <v>2</v>
      </c>
      <c r="K3" s="3">
        <v>89.99</v>
      </c>
      <c r="L3" s="7">
        <v>0.1</v>
      </c>
      <c r="M3" s="3" t="s">
        <v>23</v>
      </c>
      <c r="N3" s="3">
        <v>179.98</v>
      </c>
      <c r="O3" s="3">
        <v>18</v>
      </c>
      <c r="P3" s="3">
        <v>161.97999999999999</v>
      </c>
    </row>
    <row r="4" spans="1:16" x14ac:dyDescent="0.3">
      <c r="A4" s="3" t="s">
        <v>29</v>
      </c>
      <c r="B4" s="15">
        <v>46015</v>
      </c>
      <c r="C4" s="15" t="str">
        <f t="shared" si="0"/>
        <v>December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5">
        <v>1</v>
      </c>
      <c r="K4" s="3">
        <v>79.989999999999995</v>
      </c>
      <c r="L4" s="7">
        <v>0</v>
      </c>
      <c r="M4" s="3" t="s">
        <v>37</v>
      </c>
      <c r="N4" s="3">
        <v>79.989999999999995</v>
      </c>
      <c r="O4" s="3">
        <v>0</v>
      </c>
      <c r="P4" s="3">
        <v>79.989999999999995</v>
      </c>
    </row>
    <row r="5" spans="1:16" x14ac:dyDescent="0.3">
      <c r="A5" s="3" t="s">
        <v>38</v>
      </c>
      <c r="B5" s="15">
        <v>45707</v>
      </c>
      <c r="C5" s="15" t="str">
        <f t="shared" si="0"/>
        <v>February</v>
      </c>
      <c r="D5" s="3" t="s">
        <v>40</v>
      </c>
      <c r="E5" s="3" t="s">
        <v>18</v>
      </c>
      <c r="F5" s="3" t="s">
        <v>19</v>
      </c>
      <c r="G5" s="3" t="s">
        <v>34</v>
      </c>
      <c r="H5" s="3" t="s">
        <v>35</v>
      </c>
      <c r="I5" s="3" t="s">
        <v>41</v>
      </c>
      <c r="J5" s="5">
        <v>1</v>
      </c>
      <c r="K5" s="3">
        <v>104.99</v>
      </c>
      <c r="L5" s="7">
        <v>0.05</v>
      </c>
      <c r="M5" s="3" t="s">
        <v>37</v>
      </c>
      <c r="N5" s="3">
        <v>104.99</v>
      </c>
      <c r="O5" s="3">
        <v>5.25</v>
      </c>
      <c r="P5" s="3">
        <v>99.74</v>
      </c>
    </row>
    <row r="6" spans="1:16" x14ac:dyDescent="0.3">
      <c r="A6" s="3" t="s">
        <v>42</v>
      </c>
      <c r="B6" s="15">
        <v>45940</v>
      </c>
      <c r="C6" s="15" t="str">
        <f t="shared" si="0"/>
        <v>October</v>
      </c>
      <c r="D6" s="3" t="s">
        <v>44</v>
      </c>
      <c r="E6" s="3" t="s">
        <v>32</v>
      </c>
      <c r="F6" s="3" t="s">
        <v>45</v>
      </c>
      <c r="G6" s="3" t="s">
        <v>34</v>
      </c>
      <c r="H6" s="3" t="s">
        <v>21</v>
      </c>
      <c r="I6" s="3" t="s">
        <v>46</v>
      </c>
      <c r="J6" s="5">
        <v>4</v>
      </c>
      <c r="K6" s="3">
        <v>119.99</v>
      </c>
      <c r="L6" s="7">
        <v>0</v>
      </c>
      <c r="M6" s="3" t="s">
        <v>47</v>
      </c>
      <c r="N6" s="3">
        <v>479.96</v>
      </c>
      <c r="O6" s="3">
        <v>0</v>
      </c>
      <c r="P6" s="3">
        <v>479.96</v>
      </c>
    </row>
    <row r="7" spans="1:16" x14ac:dyDescent="0.3">
      <c r="A7" s="3" t="s">
        <v>48</v>
      </c>
      <c r="B7" s="15">
        <v>45709</v>
      </c>
      <c r="C7" s="15" t="str">
        <f t="shared" si="0"/>
        <v>February</v>
      </c>
      <c r="D7" s="3" t="s">
        <v>50</v>
      </c>
      <c r="E7" s="3" t="s">
        <v>51</v>
      </c>
      <c r="F7" s="3" t="s">
        <v>52</v>
      </c>
      <c r="G7" s="3" t="s">
        <v>34</v>
      </c>
      <c r="H7" s="3" t="s">
        <v>21</v>
      </c>
      <c r="I7" s="3" t="s">
        <v>22</v>
      </c>
      <c r="J7" s="5">
        <v>1</v>
      </c>
      <c r="K7" s="3">
        <v>89.99</v>
      </c>
      <c r="L7" s="7">
        <v>0</v>
      </c>
      <c r="M7" s="3" t="s">
        <v>23</v>
      </c>
      <c r="N7" s="3">
        <v>89.99</v>
      </c>
      <c r="O7" s="3">
        <v>0</v>
      </c>
      <c r="P7" s="3">
        <v>89.99</v>
      </c>
    </row>
    <row r="8" spans="1:16" x14ac:dyDescent="0.3">
      <c r="A8" s="3" t="s">
        <v>53</v>
      </c>
      <c r="B8" s="15">
        <v>45794</v>
      </c>
      <c r="C8" s="15" t="str">
        <f t="shared" si="0"/>
        <v>May</v>
      </c>
      <c r="D8" s="3" t="s">
        <v>55</v>
      </c>
      <c r="E8" s="3" t="s">
        <v>18</v>
      </c>
      <c r="F8" s="3" t="s">
        <v>56</v>
      </c>
      <c r="G8" s="3" t="s">
        <v>20</v>
      </c>
      <c r="H8" s="3" t="s">
        <v>57</v>
      </c>
      <c r="I8" s="3" t="s">
        <v>58</v>
      </c>
      <c r="J8" s="5">
        <v>2</v>
      </c>
      <c r="K8" s="3">
        <v>89.99</v>
      </c>
      <c r="L8" s="7">
        <v>0.15</v>
      </c>
      <c r="M8" s="3" t="s">
        <v>47</v>
      </c>
      <c r="N8" s="3">
        <v>179.98</v>
      </c>
      <c r="O8" s="3">
        <v>27</v>
      </c>
      <c r="P8" s="3">
        <v>152.97999999999999</v>
      </c>
    </row>
    <row r="9" spans="1:16" x14ac:dyDescent="0.3">
      <c r="A9" s="3" t="s">
        <v>59</v>
      </c>
      <c r="B9" s="15">
        <v>45985</v>
      </c>
      <c r="C9" s="15" t="str">
        <f t="shared" si="0"/>
        <v>November</v>
      </c>
      <c r="D9" s="3" t="s">
        <v>61</v>
      </c>
      <c r="E9" s="3" t="s">
        <v>51</v>
      </c>
      <c r="F9" s="3" t="s">
        <v>52</v>
      </c>
      <c r="G9" s="3" t="s">
        <v>20</v>
      </c>
      <c r="H9" s="3" t="s">
        <v>62</v>
      </c>
      <c r="I9" s="3" t="s">
        <v>63</v>
      </c>
      <c r="J9" s="5">
        <v>4</v>
      </c>
      <c r="K9" s="3">
        <v>199.99</v>
      </c>
      <c r="L9" s="7">
        <v>0</v>
      </c>
      <c r="M9" s="3" t="s">
        <v>37</v>
      </c>
      <c r="N9" s="3">
        <v>799.96</v>
      </c>
      <c r="O9" s="3">
        <v>0</v>
      </c>
      <c r="P9" s="3">
        <v>799.96</v>
      </c>
    </row>
    <row r="10" spans="1:16" x14ac:dyDescent="0.3">
      <c r="A10" s="3" t="s">
        <v>64</v>
      </c>
      <c r="B10" s="15">
        <v>45691</v>
      </c>
      <c r="C10" s="15" t="str">
        <f t="shared" si="0"/>
        <v>February</v>
      </c>
      <c r="D10" s="3" t="s">
        <v>66</v>
      </c>
      <c r="E10" s="3" t="s">
        <v>27</v>
      </c>
      <c r="F10" s="3" t="s">
        <v>67</v>
      </c>
      <c r="G10" s="3" t="s">
        <v>34</v>
      </c>
      <c r="H10" s="3" t="s">
        <v>21</v>
      </c>
      <c r="I10" s="3" t="s">
        <v>68</v>
      </c>
      <c r="J10" s="5">
        <v>4</v>
      </c>
      <c r="K10" s="3">
        <v>129.99</v>
      </c>
      <c r="L10" s="7">
        <v>0</v>
      </c>
      <c r="M10" s="3" t="s">
        <v>47</v>
      </c>
      <c r="N10" s="3">
        <v>519.96</v>
      </c>
      <c r="O10" s="3">
        <v>0</v>
      </c>
      <c r="P10" s="3">
        <v>519.96</v>
      </c>
    </row>
    <row r="11" spans="1:16" x14ac:dyDescent="0.3">
      <c r="A11" s="3" t="s">
        <v>69</v>
      </c>
      <c r="B11" s="15">
        <v>45784</v>
      </c>
      <c r="C11" s="15" t="str">
        <f t="shared" si="0"/>
        <v>May</v>
      </c>
      <c r="D11" s="3" t="s">
        <v>71</v>
      </c>
      <c r="E11" s="3" t="s">
        <v>72</v>
      </c>
      <c r="F11" s="3" t="s">
        <v>73</v>
      </c>
      <c r="G11" s="3" t="s">
        <v>34</v>
      </c>
      <c r="H11" s="3" t="s">
        <v>74</v>
      </c>
      <c r="I11" s="3" t="s">
        <v>75</v>
      </c>
      <c r="J11" s="5">
        <v>3</v>
      </c>
      <c r="K11" s="3">
        <v>299.99</v>
      </c>
      <c r="L11" s="7">
        <v>0</v>
      </c>
      <c r="M11" s="3" t="s">
        <v>23</v>
      </c>
      <c r="N11" s="3">
        <v>899.97</v>
      </c>
      <c r="O11" s="3">
        <v>0</v>
      </c>
      <c r="P11" s="3">
        <v>899.97</v>
      </c>
    </row>
    <row r="12" spans="1:16" x14ac:dyDescent="0.3">
      <c r="A12" s="3" t="s">
        <v>76</v>
      </c>
      <c r="B12" s="15">
        <v>45910</v>
      </c>
      <c r="C12" s="15" t="str">
        <f t="shared" si="0"/>
        <v>September</v>
      </c>
      <c r="D12" s="3" t="s">
        <v>78</v>
      </c>
      <c r="E12" s="3" t="s">
        <v>18</v>
      </c>
      <c r="F12" s="3" t="s">
        <v>19</v>
      </c>
      <c r="G12" s="3" t="s">
        <v>20</v>
      </c>
      <c r="H12" s="3" t="s">
        <v>62</v>
      </c>
      <c r="I12" s="3" t="s">
        <v>79</v>
      </c>
      <c r="J12" s="5">
        <v>2</v>
      </c>
      <c r="K12" s="3">
        <v>249.99</v>
      </c>
      <c r="L12" s="7">
        <v>0.1</v>
      </c>
      <c r="M12" s="3" t="s">
        <v>80</v>
      </c>
      <c r="N12" s="3">
        <v>499.98</v>
      </c>
      <c r="O12" s="3">
        <v>50</v>
      </c>
      <c r="P12" s="3">
        <v>449.98</v>
      </c>
    </row>
    <row r="13" spans="1:16" x14ac:dyDescent="0.3">
      <c r="A13" s="3" t="s">
        <v>81</v>
      </c>
      <c r="B13" s="15">
        <v>45963</v>
      </c>
      <c r="C13" s="15" t="str">
        <f t="shared" si="0"/>
        <v>November</v>
      </c>
      <c r="D13" s="3" t="s">
        <v>83</v>
      </c>
      <c r="E13" s="3" t="s">
        <v>72</v>
      </c>
      <c r="F13" s="3" t="s">
        <v>73</v>
      </c>
      <c r="G13" s="3" t="s">
        <v>34</v>
      </c>
      <c r="H13" s="3" t="s">
        <v>35</v>
      </c>
      <c r="I13" s="3" t="s">
        <v>41</v>
      </c>
      <c r="J13" s="5">
        <v>4</v>
      </c>
      <c r="K13" s="3">
        <v>104.99</v>
      </c>
      <c r="L13" s="7">
        <v>0.05</v>
      </c>
      <c r="M13" s="3" t="s">
        <v>80</v>
      </c>
      <c r="N13" s="3">
        <v>419.96</v>
      </c>
      <c r="O13" s="3">
        <v>21</v>
      </c>
      <c r="P13" s="3">
        <v>398.96</v>
      </c>
    </row>
    <row r="14" spans="1:16" x14ac:dyDescent="0.3">
      <c r="A14" s="3" t="s">
        <v>84</v>
      </c>
      <c r="B14" s="15">
        <v>45738</v>
      </c>
      <c r="C14" s="15" t="str">
        <f t="shared" si="0"/>
        <v>March</v>
      </c>
      <c r="D14" s="3" t="s">
        <v>86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87</v>
      </c>
      <c r="J14" s="5">
        <v>3</v>
      </c>
      <c r="K14" s="3">
        <v>149.99</v>
      </c>
      <c r="L14" s="7">
        <v>0.05</v>
      </c>
      <c r="M14" s="3" t="s">
        <v>37</v>
      </c>
      <c r="N14" s="3">
        <v>449.97</v>
      </c>
      <c r="O14" s="3">
        <v>22.5</v>
      </c>
      <c r="P14" s="3">
        <v>427.47</v>
      </c>
    </row>
    <row r="15" spans="1:16" x14ac:dyDescent="0.3">
      <c r="A15" s="3" t="s">
        <v>88</v>
      </c>
      <c r="B15" s="15">
        <v>45985</v>
      </c>
      <c r="C15" s="15" t="str">
        <f t="shared" si="0"/>
        <v>November</v>
      </c>
      <c r="D15" s="3" t="s">
        <v>89</v>
      </c>
      <c r="E15" s="3" t="s">
        <v>32</v>
      </c>
      <c r="F15" s="3" t="s">
        <v>45</v>
      </c>
      <c r="G15" s="3" t="s">
        <v>20</v>
      </c>
      <c r="H15" s="3" t="s">
        <v>62</v>
      </c>
      <c r="I15" s="3" t="s">
        <v>63</v>
      </c>
      <c r="J15" s="5">
        <v>6</v>
      </c>
      <c r="K15" s="3">
        <v>199.99</v>
      </c>
      <c r="L15" s="7">
        <v>0</v>
      </c>
      <c r="M15" s="3" t="s">
        <v>47</v>
      </c>
      <c r="N15" s="3">
        <v>1199.94</v>
      </c>
      <c r="O15" s="3">
        <v>0</v>
      </c>
      <c r="P15" s="3">
        <v>1199.94</v>
      </c>
    </row>
    <row r="16" spans="1:16" x14ac:dyDescent="0.3">
      <c r="A16" s="3" t="s">
        <v>90</v>
      </c>
      <c r="B16" s="15">
        <v>45908</v>
      </c>
      <c r="C16" s="15" t="str">
        <f t="shared" si="0"/>
        <v>September</v>
      </c>
      <c r="D16" s="3" t="s">
        <v>92</v>
      </c>
      <c r="E16" s="3" t="s">
        <v>32</v>
      </c>
      <c r="F16" s="3" t="s">
        <v>45</v>
      </c>
      <c r="G16" s="3" t="s">
        <v>20</v>
      </c>
      <c r="H16" s="3" t="s">
        <v>57</v>
      </c>
      <c r="I16" s="3" t="s">
        <v>58</v>
      </c>
      <c r="J16" s="5">
        <v>5</v>
      </c>
      <c r="K16" s="3">
        <v>89.99</v>
      </c>
      <c r="L16" s="7">
        <v>0</v>
      </c>
      <c r="M16" s="3" t="s">
        <v>37</v>
      </c>
      <c r="N16" s="3">
        <v>449.95</v>
      </c>
      <c r="O16" s="3">
        <v>0</v>
      </c>
      <c r="P16" s="3">
        <v>449.95</v>
      </c>
    </row>
    <row r="17" spans="1:16" x14ac:dyDescent="0.3">
      <c r="A17" s="3" t="s">
        <v>93</v>
      </c>
      <c r="B17" s="15">
        <v>45701</v>
      </c>
      <c r="C17" s="15" t="str">
        <f t="shared" si="0"/>
        <v>February</v>
      </c>
      <c r="D17" s="3" t="s">
        <v>95</v>
      </c>
      <c r="E17" s="3" t="s">
        <v>27</v>
      </c>
      <c r="F17" s="3" t="s">
        <v>28</v>
      </c>
      <c r="G17" s="3" t="s">
        <v>34</v>
      </c>
      <c r="H17" s="3" t="s">
        <v>57</v>
      </c>
      <c r="I17" s="3" t="s">
        <v>58</v>
      </c>
      <c r="J17" s="5">
        <v>5</v>
      </c>
      <c r="K17" s="3">
        <v>89.99</v>
      </c>
      <c r="L17" s="7">
        <v>0</v>
      </c>
      <c r="M17" s="3" t="s">
        <v>80</v>
      </c>
      <c r="N17" s="3">
        <v>449.95</v>
      </c>
      <c r="O17" s="3">
        <v>0</v>
      </c>
      <c r="P17" s="3">
        <v>449.95</v>
      </c>
    </row>
    <row r="18" spans="1:16" x14ac:dyDescent="0.3">
      <c r="A18" s="3" t="s">
        <v>96</v>
      </c>
      <c r="B18" s="15">
        <v>45793</v>
      </c>
      <c r="C18" s="15" t="str">
        <f t="shared" si="0"/>
        <v>May</v>
      </c>
      <c r="D18" s="3" t="s">
        <v>98</v>
      </c>
      <c r="E18" s="3" t="s">
        <v>51</v>
      </c>
      <c r="F18" s="3" t="s">
        <v>52</v>
      </c>
      <c r="G18" s="3" t="s">
        <v>34</v>
      </c>
      <c r="H18" s="3" t="s">
        <v>62</v>
      </c>
      <c r="I18" s="3" t="s">
        <v>63</v>
      </c>
      <c r="J18" s="5">
        <v>5</v>
      </c>
      <c r="K18" s="3">
        <v>199.99</v>
      </c>
      <c r="L18" s="7">
        <v>0</v>
      </c>
      <c r="M18" s="3" t="s">
        <v>47</v>
      </c>
      <c r="N18" s="3">
        <v>999.95</v>
      </c>
      <c r="O18" s="3">
        <v>0</v>
      </c>
      <c r="P18" s="3">
        <v>999.95</v>
      </c>
    </row>
    <row r="19" spans="1:16" x14ac:dyDescent="0.3">
      <c r="A19" s="3" t="s">
        <v>99</v>
      </c>
      <c r="B19" s="15">
        <v>45849</v>
      </c>
      <c r="C19" s="15" t="str">
        <f t="shared" si="0"/>
        <v>July</v>
      </c>
      <c r="D19" s="3" t="s">
        <v>101</v>
      </c>
      <c r="E19" s="3" t="s">
        <v>18</v>
      </c>
      <c r="F19" s="3" t="s">
        <v>56</v>
      </c>
      <c r="G19" s="3" t="s">
        <v>34</v>
      </c>
      <c r="H19" s="3" t="s">
        <v>62</v>
      </c>
      <c r="I19" s="3" t="s">
        <v>63</v>
      </c>
      <c r="J19" s="5">
        <v>6</v>
      </c>
      <c r="K19" s="3">
        <v>199.99</v>
      </c>
      <c r="L19" s="7">
        <v>0.15</v>
      </c>
      <c r="M19" s="3" t="s">
        <v>80</v>
      </c>
      <c r="N19" s="3">
        <v>1199.94</v>
      </c>
      <c r="O19" s="3">
        <v>179.99</v>
      </c>
      <c r="P19" s="3">
        <v>1019.95</v>
      </c>
    </row>
    <row r="20" spans="1:16" x14ac:dyDescent="0.3">
      <c r="A20" s="3" t="s">
        <v>102</v>
      </c>
      <c r="B20" s="15">
        <v>45941</v>
      </c>
      <c r="C20" s="15" t="str">
        <f t="shared" si="0"/>
        <v>October</v>
      </c>
      <c r="D20" s="3" t="s">
        <v>104</v>
      </c>
      <c r="E20" s="3" t="s">
        <v>27</v>
      </c>
      <c r="F20" s="3" t="s">
        <v>67</v>
      </c>
      <c r="G20" s="3" t="s">
        <v>20</v>
      </c>
      <c r="H20" s="3" t="s">
        <v>35</v>
      </c>
      <c r="I20" s="3" t="s">
        <v>41</v>
      </c>
      <c r="J20" s="5">
        <v>1</v>
      </c>
      <c r="K20" s="3">
        <v>104.99</v>
      </c>
      <c r="L20" s="7">
        <v>0.1</v>
      </c>
      <c r="M20" s="3" t="s">
        <v>80</v>
      </c>
      <c r="N20" s="3">
        <v>104.99</v>
      </c>
      <c r="O20" s="3">
        <v>10.5</v>
      </c>
      <c r="P20" s="3">
        <v>94.49</v>
      </c>
    </row>
    <row r="21" spans="1:16" x14ac:dyDescent="0.3">
      <c r="A21" s="3" t="s">
        <v>105</v>
      </c>
      <c r="B21" s="15">
        <v>45694</v>
      </c>
      <c r="C21" s="15" t="str">
        <f t="shared" si="0"/>
        <v>February</v>
      </c>
      <c r="D21" s="3" t="s">
        <v>107</v>
      </c>
      <c r="E21" s="3" t="s">
        <v>51</v>
      </c>
      <c r="F21" s="3" t="s">
        <v>108</v>
      </c>
      <c r="G21" s="3" t="s">
        <v>20</v>
      </c>
      <c r="H21" s="3" t="s">
        <v>21</v>
      </c>
      <c r="I21" s="3" t="s">
        <v>22</v>
      </c>
      <c r="J21" s="5">
        <v>1</v>
      </c>
      <c r="K21" s="3">
        <v>89.99</v>
      </c>
      <c r="L21" s="7">
        <v>0</v>
      </c>
      <c r="M21" s="3" t="s">
        <v>37</v>
      </c>
      <c r="N21" s="3">
        <v>89.99</v>
      </c>
      <c r="O21" s="3">
        <v>0</v>
      </c>
      <c r="P21" s="3">
        <v>89.99</v>
      </c>
    </row>
    <row r="22" spans="1:16" x14ac:dyDescent="0.3">
      <c r="A22" s="3" t="s">
        <v>109</v>
      </c>
      <c r="B22" s="15">
        <v>45953</v>
      </c>
      <c r="C22" s="15" t="str">
        <f t="shared" si="0"/>
        <v>October</v>
      </c>
      <c r="D22" s="3" t="s">
        <v>111</v>
      </c>
      <c r="E22" s="3" t="s">
        <v>32</v>
      </c>
      <c r="F22" s="3" t="s">
        <v>45</v>
      </c>
      <c r="G22" s="3" t="s">
        <v>20</v>
      </c>
      <c r="H22" s="3" t="s">
        <v>74</v>
      </c>
      <c r="I22" s="3" t="s">
        <v>112</v>
      </c>
      <c r="J22" s="5">
        <v>6</v>
      </c>
      <c r="K22" s="3">
        <v>129.99</v>
      </c>
      <c r="L22" s="7">
        <v>0.1</v>
      </c>
      <c r="M22" s="3" t="s">
        <v>23</v>
      </c>
      <c r="N22" s="3">
        <v>779.94</v>
      </c>
      <c r="O22" s="3">
        <v>77.989999999999995</v>
      </c>
      <c r="P22" s="3">
        <v>701.95</v>
      </c>
    </row>
    <row r="23" spans="1:16" x14ac:dyDescent="0.3">
      <c r="A23" s="3" t="s">
        <v>113</v>
      </c>
      <c r="B23" s="15">
        <v>45839</v>
      </c>
      <c r="C23" s="15" t="str">
        <f t="shared" si="0"/>
        <v>July</v>
      </c>
      <c r="D23" s="3" t="s">
        <v>31</v>
      </c>
      <c r="E23" s="3" t="s">
        <v>27</v>
      </c>
      <c r="F23" s="3" t="s">
        <v>28</v>
      </c>
      <c r="G23" s="3" t="s">
        <v>34</v>
      </c>
      <c r="H23" s="3" t="s">
        <v>74</v>
      </c>
      <c r="I23" s="3" t="s">
        <v>112</v>
      </c>
      <c r="J23" s="5">
        <v>6</v>
      </c>
      <c r="K23" s="3">
        <v>129.99</v>
      </c>
      <c r="L23" s="7">
        <v>0.05</v>
      </c>
      <c r="M23" s="3" t="s">
        <v>23</v>
      </c>
      <c r="N23" s="3">
        <v>779.94</v>
      </c>
      <c r="O23" s="3">
        <v>39</v>
      </c>
      <c r="P23" s="3">
        <v>740.94</v>
      </c>
    </row>
    <row r="24" spans="1:16" x14ac:dyDescent="0.3">
      <c r="A24" s="3" t="s">
        <v>115</v>
      </c>
      <c r="B24" s="15">
        <v>45713</v>
      </c>
      <c r="C24" s="15" t="str">
        <f t="shared" si="0"/>
        <v>February</v>
      </c>
      <c r="D24" s="3" t="s">
        <v>117</v>
      </c>
      <c r="E24" s="3" t="s">
        <v>27</v>
      </c>
      <c r="F24" s="3" t="s">
        <v>67</v>
      </c>
      <c r="G24" s="3" t="s">
        <v>20</v>
      </c>
      <c r="H24" s="3" t="s">
        <v>21</v>
      </c>
      <c r="I24" s="3" t="s">
        <v>22</v>
      </c>
      <c r="J24" s="5">
        <v>6</v>
      </c>
      <c r="K24" s="3">
        <v>89.99</v>
      </c>
      <c r="L24" s="7">
        <v>0</v>
      </c>
      <c r="M24" s="3" t="s">
        <v>47</v>
      </c>
      <c r="N24" s="3">
        <v>539.94000000000005</v>
      </c>
      <c r="O24" s="3">
        <v>0</v>
      </c>
      <c r="P24" s="3">
        <v>539.94000000000005</v>
      </c>
    </row>
    <row r="25" spans="1:16" x14ac:dyDescent="0.3">
      <c r="A25" s="3" t="s">
        <v>118</v>
      </c>
      <c r="B25" s="15">
        <v>45894</v>
      </c>
      <c r="C25" s="15" t="str">
        <f t="shared" si="0"/>
        <v>August</v>
      </c>
      <c r="D25" s="3" t="s">
        <v>117</v>
      </c>
      <c r="E25" s="3" t="s">
        <v>51</v>
      </c>
      <c r="F25" s="3" t="s">
        <v>52</v>
      </c>
      <c r="G25" s="3" t="s">
        <v>20</v>
      </c>
      <c r="H25" s="3" t="s">
        <v>62</v>
      </c>
      <c r="I25" s="3" t="s">
        <v>79</v>
      </c>
      <c r="J25" s="5">
        <v>2</v>
      </c>
      <c r="K25" s="3">
        <v>249.99</v>
      </c>
      <c r="L25" s="7">
        <v>0</v>
      </c>
      <c r="M25" s="3" t="s">
        <v>23</v>
      </c>
      <c r="N25" s="3">
        <v>499.98</v>
      </c>
      <c r="O25" s="3">
        <v>0</v>
      </c>
      <c r="P25" s="3">
        <v>499.98</v>
      </c>
    </row>
    <row r="26" spans="1:16" x14ac:dyDescent="0.3">
      <c r="A26" s="3" t="s">
        <v>120</v>
      </c>
      <c r="B26" s="15">
        <v>45705</v>
      </c>
      <c r="C26" s="15" t="str">
        <f t="shared" si="0"/>
        <v>February</v>
      </c>
      <c r="D26" s="3" t="s">
        <v>122</v>
      </c>
      <c r="E26" s="3" t="s">
        <v>27</v>
      </c>
      <c r="F26" s="3" t="s">
        <v>123</v>
      </c>
      <c r="G26" s="3" t="s">
        <v>20</v>
      </c>
      <c r="H26" s="3" t="s">
        <v>62</v>
      </c>
      <c r="I26" s="3" t="s">
        <v>124</v>
      </c>
      <c r="J26" s="5">
        <v>5</v>
      </c>
      <c r="K26" s="3">
        <v>399.99</v>
      </c>
      <c r="L26" s="7">
        <v>0</v>
      </c>
      <c r="M26" s="3" t="s">
        <v>47</v>
      </c>
      <c r="N26" s="3">
        <v>1999.95</v>
      </c>
      <c r="O26" s="3">
        <v>0</v>
      </c>
      <c r="P26" s="3">
        <v>1999.95</v>
      </c>
    </row>
    <row r="27" spans="1:16" x14ac:dyDescent="0.3">
      <c r="A27" s="3" t="s">
        <v>125</v>
      </c>
      <c r="B27" s="15">
        <v>45742</v>
      </c>
      <c r="C27" s="15" t="str">
        <f t="shared" si="0"/>
        <v>March</v>
      </c>
      <c r="D27" s="3" t="s">
        <v>50</v>
      </c>
      <c r="E27" s="3" t="s">
        <v>72</v>
      </c>
      <c r="F27" s="3" t="s">
        <v>73</v>
      </c>
      <c r="G27" s="3" t="s">
        <v>20</v>
      </c>
      <c r="H27" s="3" t="s">
        <v>74</v>
      </c>
      <c r="I27" s="3" t="s">
        <v>75</v>
      </c>
      <c r="J27" s="5">
        <v>4</v>
      </c>
      <c r="K27" s="3">
        <v>299.99</v>
      </c>
      <c r="L27" s="7">
        <v>0</v>
      </c>
      <c r="M27" s="3" t="s">
        <v>23</v>
      </c>
      <c r="N27" s="3">
        <v>1199.96</v>
      </c>
      <c r="O27" s="3">
        <v>0</v>
      </c>
      <c r="P27" s="3">
        <v>1199.96</v>
      </c>
    </row>
    <row r="28" spans="1:16" x14ac:dyDescent="0.3">
      <c r="A28" s="3" t="s">
        <v>127</v>
      </c>
      <c r="B28" s="15">
        <v>45942</v>
      </c>
      <c r="C28" s="15" t="str">
        <f t="shared" si="0"/>
        <v>October</v>
      </c>
      <c r="D28" s="3" t="s">
        <v>129</v>
      </c>
      <c r="E28" s="3" t="s">
        <v>18</v>
      </c>
      <c r="F28" s="3" t="s">
        <v>56</v>
      </c>
      <c r="G28" s="3" t="s">
        <v>34</v>
      </c>
      <c r="H28" s="3" t="s">
        <v>57</v>
      </c>
      <c r="I28" s="3" t="s">
        <v>130</v>
      </c>
      <c r="J28" s="5">
        <v>6</v>
      </c>
      <c r="K28" s="3">
        <v>109.99</v>
      </c>
      <c r="L28" s="7">
        <v>0.15</v>
      </c>
      <c r="M28" s="3" t="s">
        <v>47</v>
      </c>
      <c r="N28" s="3">
        <v>659.94</v>
      </c>
      <c r="O28" s="3">
        <v>98.99</v>
      </c>
      <c r="P28" s="3">
        <v>560.95000000000005</v>
      </c>
    </row>
    <row r="29" spans="1:16" x14ac:dyDescent="0.3">
      <c r="A29" s="3" t="s">
        <v>131</v>
      </c>
      <c r="B29" s="15">
        <v>45935</v>
      </c>
      <c r="C29" s="15" t="str">
        <f t="shared" si="0"/>
        <v>October</v>
      </c>
      <c r="D29" s="3" t="s">
        <v>133</v>
      </c>
      <c r="E29" s="3" t="s">
        <v>51</v>
      </c>
      <c r="F29" s="3" t="s">
        <v>108</v>
      </c>
      <c r="G29" s="3" t="s">
        <v>34</v>
      </c>
      <c r="H29" s="3" t="s">
        <v>35</v>
      </c>
      <c r="I29" s="3" t="s">
        <v>134</v>
      </c>
      <c r="J29" s="5">
        <v>5</v>
      </c>
      <c r="K29" s="3">
        <v>139.99</v>
      </c>
      <c r="L29" s="7">
        <v>0.15</v>
      </c>
      <c r="M29" s="3" t="s">
        <v>80</v>
      </c>
      <c r="N29" s="3">
        <v>699.95</v>
      </c>
      <c r="O29" s="3">
        <v>104.99</v>
      </c>
      <c r="P29" s="3">
        <v>594.96</v>
      </c>
    </row>
    <row r="30" spans="1:16" x14ac:dyDescent="0.3">
      <c r="A30" s="3" t="s">
        <v>135</v>
      </c>
      <c r="B30" s="15">
        <v>45699</v>
      </c>
      <c r="C30" s="15" t="str">
        <f t="shared" si="0"/>
        <v>February</v>
      </c>
      <c r="D30" s="3" t="s">
        <v>137</v>
      </c>
      <c r="E30" s="3" t="s">
        <v>32</v>
      </c>
      <c r="F30" s="3" t="s">
        <v>45</v>
      </c>
      <c r="G30" s="3" t="s">
        <v>20</v>
      </c>
      <c r="H30" s="3" t="s">
        <v>21</v>
      </c>
      <c r="I30" s="3" t="s">
        <v>46</v>
      </c>
      <c r="J30" s="5">
        <v>1</v>
      </c>
      <c r="K30" s="3">
        <v>119.99</v>
      </c>
      <c r="L30" s="7">
        <v>0.1</v>
      </c>
      <c r="M30" s="3" t="s">
        <v>80</v>
      </c>
      <c r="N30" s="3">
        <v>119.99</v>
      </c>
      <c r="O30" s="3">
        <v>12</v>
      </c>
      <c r="P30" s="3">
        <v>107.99</v>
      </c>
    </row>
    <row r="31" spans="1:16" x14ac:dyDescent="0.3">
      <c r="A31" s="3" t="s">
        <v>138</v>
      </c>
      <c r="B31" s="15">
        <v>45784</v>
      </c>
      <c r="C31" s="15" t="str">
        <f t="shared" si="0"/>
        <v>May</v>
      </c>
      <c r="D31" s="3" t="s">
        <v>139</v>
      </c>
      <c r="E31" s="3" t="s">
        <v>51</v>
      </c>
      <c r="F31" s="3" t="s">
        <v>52</v>
      </c>
      <c r="G31" s="3" t="s">
        <v>20</v>
      </c>
      <c r="H31" s="3" t="s">
        <v>62</v>
      </c>
      <c r="I31" s="3" t="s">
        <v>124</v>
      </c>
      <c r="J31" s="5">
        <v>1</v>
      </c>
      <c r="K31" s="3">
        <v>399.99</v>
      </c>
      <c r="L31" s="7">
        <v>0.1</v>
      </c>
      <c r="M31" s="3" t="s">
        <v>80</v>
      </c>
      <c r="N31" s="3">
        <v>399.99</v>
      </c>
      <c r="O31" s="3">
        <v>40</v>
      </c>
      <c r="P31" s="3">
        <v>359.99</v>
      </c>
    </row>
    <row r="32" spans="1:16" x14ac:dyDescent="0.3">
      <c r="A32" s="3" t="s">
        <v>140</v>
      </c>
      <c r="B32" s="15">
        <v>46000</v>
      </c>
      <c r="C32" s="15" t="str">
        <f t="shared" si="0"/>
        <v>December</v>
      </c>
      <c r="D32" s="3" t="s">
        <v>142</v>
      </c>
      <c r="E32" s="3" t="s">
        <v>32</v>
      </c>
      <c r="F32" s="3" t="s">
        <v>33</v>
      </c>
      <c r="G32" s="3" t="s">
        <v>34</v>
      </c>
      <c r="H32" s="3" t="s">
        <v>74</v>
      </c>
      <c r="I32" s="3" t="s">
        <v>143</v>
      </c>
      <c r="J32" s="5">
        <v>3</v>
      </c>
      <c r="K32" s="3">
        <v>99.99</v>
      </c>
      <c r="L32" s="7">
        <v>0</v>
      </c>
      <c r="M32" s="3" t="s">
        <v>47</v>
      </c>
      <c r="N32" s="3">
        <v>299.97000000000003</v>
      </c>
      <c r="O32" s="3">
        <v>0</v>
      </c>
      <c r="P32" s="3">
        <v>299.97000000000003</v>
      </c>
    </row>
    <row r="33" spans="1:16" x14ac:dyDescent="0.3">
      <c r="A33" s="3" t="s">
        <v>144</v>
      </c>
      <c r="B33" s="15">
        <v>45695</v>
      </c>
      <c r="C33" s="15" t="str">
        <f t="shared" si="0"/>
        <v>February</v>
      </c>
      <c r="D33" s="3" t="s">
        <v>146</v>
      </c>
      <c r="E33" s="3" t="s">
        <v>51</v>
      </c>
      <c r="F33" s="3" t="s">
        <v>52</v>
      </c>
      <c r="G33" s="3" t="s">
        <v>34</v>
      </c>
      <c r="H33" s="3" t="s">
        <v>57</v>
      </c>
      <c r="I33" s="3" t="s">
        <v>130</v>
      </c>
      <c r="J33" s="5">
        <v>4</v>
      </c>
      <c r="K33" s="3">
        <v>109.99</v>
      </c>
      <c r="L33" s="7">
        <v>0</v>
      </c>
      <c r="M33" s="3" t="s">
        <v>80</v>
      </c>
      <c r="N33" s="3">
        <v>439.96</v>
      </c>
      <c r="O33" s="3">
        <v>0</v>
      </c>
      <c r="P33" s="3">
        <v>439.96</v>
      </c>
    </row>
    <row r="34" spans="1:16" x14ac:dyDescent="0.3">
      <c r="A34" s="3" t="s">
        <v>147</v>
      </c>
      <c r="B34" s="15">
        <v>45693</v>
      </c>
      <c r="C34" s="15" t="str">
        <f t="shared" si="0"/>
        <v>February</v>
      </c>
      <c r="D34" s="3" t="s">
        <v>149</v>
      </c>
      <c r="E34" s="3" t="s">
        <v>32</v>
      </c>
      <c r="F34" s="3" t="s">
        <v>33</v>
      </c>
      <c r="G34" s="3" t="s">
        <v>20</v>
      </c>
      <c r="H34" s="3" t="s">
        <v>21</v>
      </c>
      <c r="I34" s="3" t="s">
        <v>68</v>
      </c>
      <c r="J34" s="5">
        <v>2</v>
      </c>
      <c r="K34" s="3">
        <v>129.99</v>
      </c>
      <c r="L34" s="7">
        <v>0</v>
      </c>
      <c r="M34" s="3" t="s">
        <v>37</v>
      </c>
      <c r="N34" s="3">
        <v>259.98</v>
      </c>
      <c r="O34" s="3">
        <v>0</v>
      </c>
      <c r="P34" s="3">
        <v>259.98</v>
      </c>
    </row>
    <row r="35" spans="1:16" x14ac:dyDescent="0.3">
      <c r="A35" s="3" t="s">
        <v>150</v>
      </c>
      <c r="B35" s="15">
        <v>45928</v>
      </c>
      <c r="C35" s="15" t="str">
        <f t="shared" si="0"/>
        <v>September</v>
      </c>
      <c r="D35" s="3" t="s">
        <v>146</v>
      </c>
      <c r="E35" s="3" t="s">
        <v>72</v>
      </c>
      <c r="F35" s="3" t="s">
        <v>152</v>
      </c>
      <c r="G35" s="3" t="s">
        <v>34</v>
      </c>
      <c r="H35" s="3" t="s">
        <v>57</v>
      </c>
      <c r="I35" s="3" t="s">
        <v>58</v>
      </c>
      <c r="J35" s="5">
        <v>5</v>
      </c>
      <c r="K35" s="3">
        <v>89.99</v>
      </c>
      <c r="L35" s="7">
        <v>0.15</v>
      </c>
      <c r="M35" s="3" t="s">
        <v>80</v>
      </c>
      <c r="N35" s="3">
        <v>449.95</v>
      </c>
      <c r="O35" s="3">
        <v>67.489999999999995</v>
      </c>
      <c r="P35" s="3">
        <v>382.46</v>
      </c>
    </row>
    <row r="36" spans="1:16" x14ac:dyDescent="0.3">
      <c r="A36" s="3" t="s">
        <v>153</v>
      </c>
      <c r="B36" s="15">
        <v>45737</v>
      </c>
      <c r="C36" s="15" t="str">
        <f t="shared" si="0"/>
        <v>March</v>
      </c>
      <c r="D36" s="3" t="s">
        <v>155</v>
      </c>
      <c r="E36" s="3" t="s">
        <v>27</v>
      </c>
      <c r="F36" s="3" t="s">
        <v>28</v>
      </c>
      <c r="G36" s="3" t="s">
        <v>34</v>
      </c>
      <c r="H36" s="3" t="s">
        <v>35</v>
      </c>
      <c r="I36" s="3" t="s">
        <v>134</v>
      </c>
      <c r="J36" s="5">
        <v>6</v>
      </c>
      <c r="K36" s="3">
        <v>139.99</v>
      </c>
      <c r="L36" s="7">
        <v>0.1</v>
      </c>
      <c r="M36" s="3" t="s">
        <v>47</v>
      </c>
      <c r="N36" s="3">
        <v>839.94</v>
      </c>
      <c r="O36" s="3">
        <v>83.99</v>
      </c>
      <c r="P36" s="3">
        <v>755.95</v>
      </c>
    </row>
    <row r="37" spans="1:16" x14ac:dyDescent="0.3">
      <c r="A37" s="3" t="s">
        <v>156</v>
      </c>
      <c r="B37" s="15">
        <v>45705</v>
      </c>
      <c r="C37" s="15" t="str">
        <f t="shared" si="0"/>
        <v>February</v>
      </c>
      <c r="D37" s="3" t="s">
        <v>157</v>
      </c>
      <c r="E37" s="3" t="s">
        <v>18</v>
      </c>
      <c r="F37" s="3" t="s">
        <v>56</v>
      </c>
      <c r="G37" s="3" t="s">
        <v>34</v>
      </c>
      <c r="H37" s="3" t="s">
        <v>57</v>
      </c>
      <c r="I37" s="3" t="s">
        <v>58</v>
      </c>
      <c r="J37" s="5">
        <v>3</v>
      </c>
      <c r="K37" s="3">
        <v>89.99</v>
      </c>
      <c r="L37" s="7">
        <v>0</v>
      </c>
      <c r="M37" s="3" t="s">
        <v>37</v>
      </c>
      <c r="N37" s="3">
        <v>269.97000000000003</v>
      </c>
      <c r="O37" s="3">
        <v>0</v>
      </c>
      <c r="P37" s="3">
        <v>269.97000000000003</v>
      </c>
    </row>
    <row r="38" spans="1:16" x14ac:dyDescent="0.3">
      <c r="A38" s="3" t="s">
        <v>158</v>
      </c>
      <c r="B38" s="15">
        <v>45740</v>
      </c>
      <c r="C38" s="15" t="str">
        <f t="shared" si="0"/>
        <v>March</v>
      </c>
      <c r="D38" s="3" t="s">
        <v>160</v>
      </c>
      <c r="E38" s="3" t="s">
        <v>18</v>
      </c>
      <c r="F38" s="3" t="s">
        <v>19</v>
      </c>
      <c r="G38" s="3" t="s">
        <v>34</v>
      </c>
      <c r="H38" s="3" t="s">
        <v>21</v>
      </c>
      <c r="I38" s="3" t="s">
        <v>22</v>
      </c>
      <c r="J38" s="5">
        <v>6</v>
      </c>
      <c r="K38" s="3">
        <v>89.99</v>
      </c>
      <c r="L38" s="7">
        <v>0</v>
      </c>
      <c r="M38" s="3" t="s">
        <v>23</v>
      </c>
      <c r="N38" s="3">
        <v>539.94000000000005</v>
      </c>
      <c r="O38" s="3">
        <v>0</v>
      </c>
      <c r="P38" s="3">
        <v>539.94000000000005</v>
      </c>
    </row>
    <row r="39" spans="1:16" x14ac:dyDescent="0.3">
      <c r="A39" s="3" t="s">
        <v>161</v>
      </c>
      <c r="B39" s="15">
        <v>45937</v>
      </c>
      <c r="C39" s="15" t="str">
        <f t="shared" si="0"/>
        <v>October</v>
      </c>
      <c r="D39" s="3" t="s">
        <v>163</v>
      </c>
      <c r="E39" s="3" t="s">
        <v>27</v>
      </c>
      <c r="F39" s="3" t="s">
        <v>28</v>
      </c>
      <c r="G39" s="3" t="s">
        <v>34</v>
      </c>
      <c r="H39" s="3" t="s">
        <v>62</v>
      </c>
      <c r="I39" s="3" t="s">
        <v>124</v>
      </c>
      <c r="J39" s="5">
        <v>6</v>
      </c>
      <c r="K39" s="3">
        <v>399.99</v>
      </c>
      <c r="L39" s="7">
        <v>0</v>
      </c>
      <c r="M39" s="3" t="s">
        <v>47</v>
      </c>
      <c r="N39" s="3">
        <v>2399.94</v>
      </c>
      <c r="O39" s="3">
        <v>0</v>
      </c>
      <c r="P39" s="3">
        <v>2399.94</v>
      </c>
    </row>
    <row r="40" spans="1:16" x14ac:dyDescent="0.3">
      <c r="A40" s="3" t="s">
        <v>164</v>
      </c>
      <c r="B40" s="15">
        <v>45841</v>
      </c>
      <c r="C40" s="15" t="str">
        <f t="shared" si="0"/>
        <v>July</v>
      </c>
      <c r="D40" s="3" t="s">
        <v>166</v>
      </c>
      <c r="E40" s="3" t="s">
        <v>27</v>
      </c>
      <c r="F40" s="3" t="s">
        <v>67</v>
      </c>
      <c r="G40" s="3" t="s">
        <v>20</v>
      </c>
      <c r="H40" s="3" t="s">
        <v>74</v>
      </c>
      <c r="I40" s="3" t="s">
        <v>112</v>
      </c>
      <c r="J40" s="5">
        <v>3</v>
      </c>
      <c r="K40" s="3">
        <v>129.99</v>
      </c>
      <c r="L40" s="7">
        <v>0</v>
      </c>
      <c r="M40" s="3" t="s">
        <v>80</v>
      </c>
      <c r="N40" s="3">
        <v>389.97</v>
      </c>
      <c r="O40" s="3">
        <v>0</v>
      </c>
      <c r="P40" s="3">
        <v>389.97</v>
      </c>
    </row>
    <row r="41" spans="1:16" x14ac:dyDescent="0.3">
      <c r="A41" s="3" t="s">
        <v>167</v>
      </c>
      <c r="B41" s="15">
        <v>45748</v>
      </c>
      <c r="C41" s="15" t="str">
        <f t="shared" si="0"/>
        <v>April</v>
      </c>
      <c r="D41" s="3" t="s">
        <v>149</v>
      </c>
      <c r="E41" s="3" t="s">
        <v>32</v>
      </c>
      <c r="F41" s="3" t="s">
        <v>45</v>
      </c>
      <c r="G41" s="3" t="s">
        <v>34</v>
      </c>
      <c r="H41" s="3" t="s">
        <v>57</v>
      </c>
      <c r="I41" s="3" t="s">
        <v>130</v>
      </c>
      <c r="J41" s="5">
        <v>2</v>
      </c>
      <c r="K41" s="3">
        <v>109.99</v>
      </c>
      <c r="L41" s="7">
        <v>0</v>
      </c>
      <c r="M41" s="3" t="s">
        <v>80</v>
      </c>
      <c r="N41" s="3">
        <v>219.98</v>
      </c>
      <c r="O41" s="3">
        <v>0</v>
      </c>
      <c r="P41" s="3">
        <v>219.98</v>
      </c>
    </row>
    <row r="42" spans="1:16" x14ac:dyDescent="0.3">
      <c r="A42" s="3" t="s">
        <v>169</v>
      </c>
      <c r="B42" s="15">
        <v>46017</v>
      </c>
      <c r="C42" s="15" t="str">
        <f t="shared" si="0"/>
        <v>December</v>
      </c>
      <c r="D42" s="3" t="s">
        <v>171</v>
      </c>
      <c r="E42" s="3" t="s">
        <v>72</v>
      </c>
      <c r="F42" s="3" t="s">
        <v>73</v>
      </c>
      <c r="G42" s="3" t="s">
        <v>34</v>
      </c>
      <c r="H42" s="3" t="s">
        <v>35</v>
      </c>
      <c r="I42" s="3" t="s">
        <v>134</v>
      </c>
      <c r="J42" s="5">
        <v>3</v>
      </c>
      <c r="K42" s="3">
        <v>139.99</v>
      </c>
      <c r="L42" s="7">
        <v>0</v>
      </c>
      <c r="M42" s="3" t="s">
        <v>80</v>
      </c>
      <c r="N42" s="3">
        <v>419.97</v>
      </c>
      <c r="O42" s="3">
        <v>0</v>
      </c>
      <c r="P42" s="3">
        <v>419.97</v>
      </c>
    </row>
    <row r="43" spans="1:16" x14ac:dyDescent="0.3">
      <c r="A43" s="3" t="s">
        <v>172</v>
      </c>
      <c r="B43" s="15">
        <v>45774</v>
      </c>
      <c r="C43" s="15" t="str">
        <f t="shared" si="0"/>
        <v>April</v>
      </c>
      <c r="D43" s="3" t="s">
        <v>174</v>
      </c>
      <c r="E43" s="3" t="s">
        <v>51</v>
      </c>
      <c r="F43" s="3" t="s">
        <v>52</v>
      </c>
      <c r="G43" s="3" t="s">
        <v>20</v>
      </c>
      <c r="H43" s="3" t="s">
        <v>74</v>
      </c>
      <c r="I43" s="3" t="s">
        <v>112</v>
      </c>
      <c r="J43" s="5">
        <v>3</v>
      </c>
      <c r="K43" s="3">
        <v>129.99</v>
      </c>
      <c r="L43" s="7">
        <v>0</v>
      </c>
      <c r="M43" s="3" t="s">
        <v>47</v>
      </c>
      <c r="N43" s="3">
        <v>389.97</v>
      </c>
      <c r="O43" s="3">
        <v>0</v>
      </c>
      <c r="P43" s="3">
        <v>389.97</v>
      </c>
    </row>
    <row r="44" spans="1:16" x14ac:dyDescent="0.3">
      <c r="A44" s="3" t="s">
        <v>175</v>
      </c>
      <c r="B44" s="15">
        <v>45986</v>
      </c>
      <c r="C44" s="15" t="str">
        <f t="shared" si="0"/>
        <v>November</v>
      </c>
      <c r="D44" s="3" t="s">
        <v>177</v>
      </c>
      <c r="E44" s="3" t="s">
        <v>18</v>
      </c>
      <c r="F44" s="3" t="s">
        <v>19</v>
      </c>
      <c r="G44" s="3" t="s">
        <v>34</v>
      </c>
      <c r="H44" s="3" t="s">
        <v>74</v>
      </c>
      <c r="I44" s="3" t="s">
        <v>75</v>
      </c>
      <c r="J44" s="5">
        <v>3</v>
      </c>
      <c r="K44" s="3">
        <v>299.99</v>
      </c>
      <c r="L44" s="7">
        <v>0</v>
      </c>
      <c r="M44" s="3" t="s">
        <v>37</v>
      </c>
      <c r="N44" s="3">
        <v>899.97</v>
      </c>
      <c r="O44" s="3">
        <v>0</v>
      </c>
      <c r="P44" s="3">
        <v>899.97</v>
      </c>
    </row>
    <row r="45" spans="1:16" x14ac:dyDescent="0.3">
      <c r="A45" s="3" t="s">
        <v>178</v>
      </c>
      <c r="B45" s="15">
        <v>45677</v>
      </c>
      <c r="C45" s="15" t="str">
        <f t="shared" si="0"/>
        <v>January</v>
      </c>
      <c r="D45" s="3" t="s">
        <v>171</v>
      </c>
      <c r="E45" s="3" t="s">
        <v>18</v>
      </c>
      <c r="F45" s="3" t="s">
        <v>19</v>
      </c>
      <c r="G45" s="3" t="s">
        <v>34</v>
      </c>
      <c r="H45" s="3" t="s">
        <v>21</v>
      </c>
      <c r="I45" s="3" t="s">
        <v>22</v>
      </c>
      <c r="J45" s="5">
        <v>5</v>
      </c>
      <c r="K45" s="3">
        <v>89.99</v>
      </c>
      <c r="L45" s="7">
        <v>0</v>
      </c>
      <c r="M45" s="3" t="s">
        <v>37</v>
      </c>
      <c r="N45" s="3">
        <v>449.95</v>
      </c>
      <c r="O45" s="3">
        <v>0</v>
      </c>
      <c r="P45" s="3">
        <v>449.95</v>
      </c>
    </row>
    <row r="46" spans="1:16" x14ac:dyDescent="0.3">
      <c r="A46" s="3" t="s">
        <v>180</v>
      </c>
      <c r="B46" s="15">
        <v>45755</v>
      </c>
      <c r="C46" s="15" t="str">
        <f t="shared" si="0"/>
        <v>April</v>
      </c>
      <c r="D46" s="3" t="s">
        <v>182</v>
      </c>
      <c r="E46" s="3" t="s">
        <v>32</v>
      </c>
      <c r="F46" s="3" t="s">
        <v>45</v>
      </c>
      <c r="G46" s="3" t="s">
        <v>20</v>
      </c>
      <c r="H46" s="3" t="s">
        <v>57</v>
      </c>
      <c r="I46" s="3" t="s">
        <v>130</v>
      </c>
      <c r="J46" s="5">
        <v>4</v>
      </c>
      <c r="K46" s="3">
        <v>109.99</v>
      </c>
      <c r="L46" s="7">
        <v>0.1</v>
      </c>
      <c r="M46" s="3" t="s">
        <v>23</v>
      </c>
      <c r="N46" s="3">
        <v>439.96</v>
      </c>
      <c r="O46" s="3">
        <v>44</v>
      </c>
      <c r="P46" s="3">
        <v>395.96</v>
      </c>
    </row>
    <row r="47" spans="1:16" x14ac:dyDescent="0.3">
      <c r="A47" s="3" t="s">
        <v>183</v>
      </c>
      <c r="B47" s="15">
        <v>45827</v>
      </c>
      <c r="C47" s="15" t="str">
        <f t="shared" si="0"/>
        <v>June</v>
      </c>
      <c r="D47" s="3" t="s">
        <v>185</v>
      </c>
      <c r="E47" s="3" t="s">
        <v>18</v>
      </c>
      <c r="F47" s="3" t="s">
        <v>56</v>
      </c>
      <c r="G47" s="3" t="s">
        <v>34</v>
      </c>
      <c r="H47" s="3" t="s">
        <v>21</v>
      </c>
      <c r="I47" s="3" t="s">
        <v>68</v>
      </c>
      <c r="J47" s="5">
        <v>1</v>
      </c>
      <c r="K47" s="3">
        <v>129.99</v>
      </c>
      <c r="L47" s="7">
        <v>0.15</v>
      </c>
      <c r="M47" s="3" t="s">
        <v>80</v>
      </c>
      <c r="N47" s="3">
        <v>129.99</v>
      </c>
      <c r="O47" s="3">
        <v>19.5</v>
      </c>
      <c r="P47" s="3">
        <v>110.49</v>
      </c>
    </row>
    <row r="48" spans="1:16" x14ac:dyDescent="0.3">
      <c r="A48" s="3" t="s">
        <v>186</v>
      </c>
      <c r="B48" s="15">
        <v>45809</v>
      </c>
      <c r="C48" s="15" t="str">
        <f t="shared" si="0"/>
        <v>June</v>
      </c>
      <c r="D48" s="3" t="s">
        <v>188</v>
      </c>
      <c r="E48" s="3" t="s">
        <v>72</v>
      </c>
      <c r="F48" s="3" t="s">
        <v>152</v>
      </c>
      <c r="G48" s="3" t="s">
        <v>20</v>
      </c>
      <c r="H48" s="3" t="s">
        <v>57</v>
      </c>
      <c r="I48" s="3" t="s">
        <v>189</v>
      </c>
      <c r="J48" s="5">
        <v>4</v>
      </c>
      <c r="K48" s="3">
        <v>119.99</v>
      </c>
      <c r="L48" s="7">
        <v>0.15</v>
      </c>
      <c r="M48" s="3" t="s">
        <v>47</v>
      </c>
      <c r="N48" s="3">
        <v>479.96</v>
      </c>
      <c r="O48" s="3">
        <v>71.989999999999995</v>
      </c>
      <c r="P48" s="3">
        <v>407.97</v>
      </c>
    </row>
    <row r="49" spans="1:16" x14ac:dyDescent="0.3">
      <c r="A49" s="3" t="s">
        <v>190</v>
      </c>
      <c r="B49" s="15">
        <v>45812</v>
      </c>
      <c r="C49" s="15" t="str">
        <f t="shared" si="0"/>
        <v>June</v>
      </c>
      <c r="D49" s="3" t="s">
        <v>192</v>
      </c>
      <c r="E49" s="3" t="s">
        <v>72</v>
      </c>
      <c r="F49" s="3" t="s">
        <v>73</v>
      </c>
      <c r="G49" s="3" t="s">
        <v>20</v>
      </c>
      <c r="H49" s="3" t="s">
        <v>74</v>
      </c>
      <c r="I49" s="3" t="s">
        <v>143</v>
      </c>
      <c r="J49" s="5">
        <v>5</v>
      </c>
      <c r="K49" s="3">
        <v>99.99</v>
      </c>
      <c r="L49" s="7">
        <v>0.1</v>
      </c>
      <c r="M49" s="3" t="s">
        <v>37</v>
      </c>
      <c r="N49" s="3">
        <v>499.95</v>
      </c>
      <c r="O49" s="3">
        <v>50</v>
      </c>
      <c r="P49" s="3">
        <v>449.95</v>
      </c>
    </row>
    <row r="50" spans="1:16" x14ac:dyDescent="0.3">
      <c r="A50" s="3" t="s">
        <v>193</v>
      </c>
      <c r="B50" s="15">
        <v>45884</v>
      </c>
      <c r="C50" s="15" t="str">
        <f t="shared" si="0"/>
        <v>August</v>
      </c>
      <c r="D50" s="3" t="s">
        <v>195</v>
      </c>
      <c r="E50" s="3" t="s">
        <v>72</v>
      </c>
      <c r="F50" s="3" t="s">
        <v>152</v>
      </c>
      <c r="G50" s="3" t="s">
        <v>20</v>
      </c>
      <c r="H50" s="3" t="s">
        <v>57</v>
      </c>
      <c r="I50" s="3" t="s">
        <v>58</v>
      </c>
      <c r="J50" s="5">
        <v>4</v>
      </c>
      <c r="K50" s="3">
        <v>89.99</v>
      </c>
      <c r="L50" s="7">
        <v>0.05</v>
      </c>
      <c r="M50" s="3" t="s">
        <v>23</v>
      </c>
      <c r="N50" s="3">
        <v>359.96</v>
      </c>
      <c r="O50" s="3">
        <v>18</v>
      </c>
      <c r="P50" s="3">
        <v>341.96</v>
      </c>
    </row>
    <row r="51" spans="1:16" x14ac:dyDescent="0.3">
      <c r="A51" s="3" t="s">
        <v>196</v>
      </c>
      <c r="B51" s="15">
        <v>46002</v>
      </c>
      <c r="C51" s="15" t="str">
        <f t="shared" si="0"/>
        <v>December</v>
      </c>
      <c r="D51" s="3" t="s">
        <v>198</v>
      </c>
      <c r="E51" s="3" t="s">
        <v>18</v>
      </c>
      <c r="F51" s="3" t="s">
        <v>56</v>
      </c>
      <c r="G51" s="3" t="s">
        <v>20</v>
      </c>
      <c r="H51" s="3" t="s">
        <v>35</v>
      </c>
      <c r="I51" s="3" t="s">
        <v>199</v>
      </c>
      <c r="J51" s="5">
        <v>1</v>
      </c>
      <c r="K51" s="3">
        <v>99.99</v>
      </c>
      <c r="L51" s="7">
        <v>0</v>
      </c>
      <c r="M51" s="3" t="s">
        <v>47</v>
      </c>
      <c r="N51" s="3">
        <v>99.99</v>
      </c>
      <c r="O51" s="3">
        <v>0</v>
      </c>
      <c r="P51" s="3">
        <v>99.99</v>
      </c>
    </row>
    <row r="52" spans="1:16" x14ac:dyDescent="0.3">
      <c r="A52" s="3" t="s">
        <v>200</v>
      </c>
      <c r="B52" s="15">
        <v>45695</v>
      </c>
      <c r="C52" s="15" t="str">
        <f t="shared" si="0"/>
        <v>February</v>
      </c>
      <c r="D52" s="3" t="s">
        <v>86</v>
      </c>
      <c r="E52" s="3" t="s">
        <v>27</v>
      </c>
      <c r="F52" s="3" t="s">
        <v>28</v>
      </c>
      <c r="G52" s="3" t="s">
        <v>34</v>
      </c>
      <c r="H52" s="3" t="s">
        <v>35</v>
      </c>
      <c r="I52" s="3" t="s">
        <v>199</v>
      </c>
      <c r="J52" s="5">
        <v>4</v>
      </c>
      <c r="K52" s="3">
        <v>99.99</v>
      </c>
      <c r="L52" s="7">
        <v>0.1</v>
      </c>
      <c r="M52" s="3" t="s">
        <v>47</v>
      </c>
      <c r="N52" s="3">
        <v>399.96</v>
      </c>
      <c r="O52" s="3">
        <v>40</v>
      </c>
      <c r="P52" s="3">
        <v>359.96</v>
      </c>
    </row>
    <row r="53" spans="1:16" x14ac:dyDescent="0.3">
      <c r="A53" s="3" t="s">
        <v>201</v>
      </c>
      <c r="B53" s="15">
        <v>46010</v>
      </c>
      <c r="C53" s="15" t="str">
        <f t="shared" si="0"/>
        <v>December</v>
      </c>
      <c r="D53" s="3" t="s">
        <v>203</v>
      </c>
      <c r="E53" s="3" t="s">
        <v>72</v>
      </c>
      <c r="F53" s="3" t="s">
        <v>73</v>
      </c>
      <c r="G53" s="3" t="s">
        <v>20</v>
      </c>
      <c r="H53" s="3" t="s">
        <v>74</v>
      </c>
      <c r="I53" s="3" t="s">
        <v>75</v>
      </c>
      <c r="J53" s="5">
        <v>2</v>
      </c>
      <c r="K53" s="3">
        <v>299.99</v>
      </c>
      <c r="L53" s="7">
        <v>0.15</v>
      </c>
      <c r="M53" s="3" t="s">
        <v>23</v>
      </c>
      <c r="N53" s="3">
        <v>599.98</v>
      </c>
      <c r="O53" s="3">
        <v>90</v>
      </c>
      <c r="P53" s="3">
        <v>509.98</v>
      </c>
    </row>
    <row r="54" spans="1:16" x14ac:dyDescent="0.3">
      <c r="A54" s="3" t="s">
        <v>204</v>
      </c>
      <c r="B54" s="15">
        <v>45785</v>
      </c>
      <c r="C54" s="15" t="str">
        <f t="shared" si="0"/>
        <v>May</v>
      </c>
      <c r="D54" s="3" t="s">
        <v>206</v>
      </c>
      <c r="E54" s="3" t="s">
        <v>32</v>
      </c>
      <c r="F54" s="3" t="s">
        <v>33</v>
      </c>
      <c r="G54" s="3" t="s">
        <v>20</v>
      </c>
      <c r="H54" s="3" t="s">
        <v>35</v>
      </c>
      <c r="I54" s="3" t="s">
        <v>41</v>
      </c>
      <c r="J54" s="5">
        <v>1</v>
      </c>
      <c r="K54" s="3">
        <v>104.99</v>
      </c>
      <c r="L54" s="7">
        <v>0.1</v>
      </c>
      <c r="M54" s="3" t="s">
        <v>23</v>
      </c>
      <c r="N54" s="3">
        <v>104.99</v>
      </c>
      <c r="O54" s="3">
        <v>10.5</v>
      </c>
      <c r="P54" s="3">
        <v>94.49</v>
      </c>
    </row>
    <row r="55" spans="1:16" x14ac:dyDescent="0.3">
      <c r="A55" s="3" t="s">
        <v>207</v>
      </c>
      <c r="B55" s="15">
        <v>45916</v>
      </c>
      <c r="C55" s="15" t="str">
        <f t="shared" si="0"/>
        <v>September</v>
      </c>
      <c r="D55" s="3" t="s">
        <v>209</v>
      </c>
      <c r="E55" s="3" t="s">
        <v>32</v>
      </c>
      <c r="F55" s="3" t="s">
        <v>33</v>
      </c>
      <c r="G55" s="3" t="s">
        <v>34</v>
      </c>
      <c r="H55" s="3" t="s">
        <v>35</v>
      </c>
      <c r="I55" s="3" t="s">
        <v>36</v>
      </c>
      <c r="J55" s="5">
        <v>4</v>
      </c>
      <c r="K55" s="3">
        <v>79.989999999999995</v>
      </c>
      <c r="L55" s="7">
        <v>0.1</v>
      </c>
      <c r="M55" s="3" t="s">
        <v>47</v>
      </c>
      <c r="N55" s="3">
        <v>319.95999999999998</v>
      </c>
      <c r="O55" s="3">
        <v>32</v>
      </c>
      <c r="P55" s="3">
        <v>287.95999999999998</v>
      </c>
    </row>
    <row r="56" spans="1:16" x14ac:dyDescent="0.3">
      <c r="A56" s="3" t="s">
        <v>210</v>
      </c>
      <c r="B56" s="15">
        <v>45924</v>
      </c>
      <c r="C56" s="15" t="str">
        <f t="shared" si="0"/>
        <v>September</v>
      </c>
      <c r="D56" s="3" t="s">
        <v>212</v>
      </c>
      <c r="E56" s="3" t="s">
        <v>18</v>
      </c>
      <c r="F56" s="3" t="s">
        <v>19</v>
      </c>
      <c r="G56" s="3" t="s">
        <v>20</v>
      </c>
      <c r="H56" s="3" t="s">
        <v>74</v>
      </c>
      <c r="I56" s="3" t="s">
        <v>75</v>
      </c>
      <c r="J56" s="5">
        <v>6</v>
      </c>
      <c r="K56" s="3">
        <v>299.99</v>
      </c>
      <c r="L56" s="7">
        <v>0</v>
      </c>
      <c r="M56" s="3" t="s">
        <v>37</v>
      </c>
      <c r="N56" s="3">
        <v>1799.94</v>
      </c>
      <c r="O56" s="3">
        <v>0</v>
      </c>
      <c r="P56" s="3">
        <v>1799.94</v>
      </c>
    </row>
    <row r="57" spans="1:16" x14ac:dyDescent="0.3">
      <c r="A57" s="3" t="s">
        <v>213</v>
      </c>
      <c r="B57" s="15">
        <v>45821</v>
      </c>
      <c r="C57" s="15" t="str">
        <f t="shared" si="0"/>
        <v>June</v>
      </c>
      <c r="D57" s="3" t="s">
        <v>215</v>
      </c>
      <c r="E57" s="3" t="s">
        <v>18</v>
      </c>
      <c r="F57" s="3" t="s">
        <v>19</v>
      </c>
      <c r="G57" s="3" t="s">
        <v>20</v>
      </c>
      <c r="H57" s="3" t="s">
        <v>74</v>
      </c>
      <c r="I57" s="3" t="s">
        <v>112</v>
      </c>
      <c r="J57" s="5">
        <v>3</v>
      </c>
      <c r="K57" s="3">
        <v>129.99</v>
      </c>
      <c r="L57" s="7">
        <v>0</v>
      </c>
      <c r="M57" s="3" t="s">
        <v>47</v>
      </c>
      <c r="N57" s="3">
        <v>389.97</v>
      </c>
      <c r="O57" s="3">
        <v>0</v>
      </c>
      <c r="P57" s="3">
        <v>389.97</v>
      </c>
    </row>
    <row r="58" spans="1:16" x14ac:dyDescent="0.3">
      <c r="A58" s="3" t="s">
        <v>216</v>
      </c>
      <c r="B58" s="15">
        <v>45690</v>
      </c>
      <c r="C58" s="15" t="str">
        <f t="shared" si="0"/>
        <v>February</v>
      </c>
      <c r="D58" s="3" t="s">
        <v>218</v>
      </c>
      <c r="E58" s="3" t="s">
        <v>72</v>
      </c>
      <c r="F58" s="3" t="s">
        <v>73</v>
      </c>
      <c r="G58" s="3" t="s">
        <v>34</v>
      </c>
      <c r="H58" s="3" t="s">
        <v>35</v>
      </c>
      <c r="I58" s="3" t="s">
        <v>41</v>
      </c>
      <c r="J58" s="5">
        <v>6</v>
      </c>
      <c r="K58" s="3">
        <v>104.99</v>
      </c>
      <c r="L58" s="7">
        <v>0</v>
      </c>
      <c r="M58" s="3" t="s">
        <v>37</v>
      </c>
      <c r="N58" s="3">
        <v>629.94000000000005</v>
      </c>
      <c r="O58" s="3">
        <v>0</v>
      </c>
      <c r="P58" s="3">
        <v>629.94000000000005</v>
      </c>
    </row>
    <row r="59" spans="1:16" x14ac:dyDescent="0.3">
      <c r="A59" s="3" t="s">
        <v>219</v>
      </c>
      <c r="B59" s="15">
        <v>45857</v>
      </c>
      <c r="C59" s="15" t="str">
        <f t="shared" si="0"/>
        <v>July</v>
      </c>
      <c r="D59" s="3" t="s">
        <v>221</v>
      </c>
      <c r="E59" s="3" t="s">
        <v>72</v>
      </c>
      <c r="F59" s="3" t="s">
        <v>73</v>
      </c>
      <c r="G59" s="3" t="s">
        <v>20</v>
      </c>
      <c r="H59" s="3" t="s">
        <v>62</v>
      </c>
      <c r="I59" s="3" t="s">
        <v>79</v>
      </c>
      <c r="J59" s="5">
        <v>2</v>
      </c>
      <c r="K59" s="3">
        <v>249.99</v>
      </c>
      <c r="L59" s="7">
        <v>0.05</v>
      </c>
      <c r="M59" s="3" t="s">
        <v>23</v>
      </c>
      <c r="N59" s="3">
        <v>499.98</v>
      </c>
      <c r="O59" s="3">
        <v>25</v>
      </c>
      <c r="P59" s="3">
        <v>474.98</v>
      </c>
    </row>
    <row r="60" spans="1:16" x14ac:dyDescent="0.3">
      <c r="A60" s="3" t="s">
        <v>222</v>
      </c>
      <c r="B60" s="15">
        <v>45933</v>
      </c>
      <c r="C60" s="15" t="str">
        <f t="shared" si="0"/>
        <v>October</v>
      </c>
      <c r="D60" s="3" t="s">
        <v>224</v>
      </c>
      <c r="E60" s="3" t="s">
        <v>18</v>
      </c>
      <c r="F60" s="3" t="s">
        <v>56</v>
      </c>
      <c r="G60" s="3" t="s">
        <v>20</v>
      </c>
      <c r="H60" s="3" t="s">
        <v>74</v>
      </c>
      <c r="I60" s="3" t="s">
        <v>112</v>
      </c>
      <c r="J60" s="5">
        <v>4</v>
      </c>
      <c r="K60" s="3">
        <v>129.99</v>
      </c>
      <c r="L60" s="7">
        <v>0.05</v>
      </c>
      <c r="M60" s="3" t="s">
        <v>23</v>
      </c>
      <c r="N60" s="3">
        <v>519.96</v>
      </c>
      <c r="O60" s="3">
        <v>26</v>
      </c>
      <c r="P60" s="3">
        <v>493.96</v>
      </c>
    </row>
    <row r="61" spans="1:16" x14ac:dyDescent="0.3">
      <c r="A61" s="3" t="s">
        <v>225</v>
      </c>
      <c r="B61" s="15">
        <v>45830</v>
      </c>
      <c r="C61" s="15" t="str">
        <f t="shared" si="0"/>
        <v>June</v>
      </c>
      <c r="D61" s="3" t="s">
        <v>227</v>
      </c>
      <c r="E61" s="3" t="s">
        <v>72</v>
      </c>
      <c r="F61" s="3" t="s">
        <v>152</v>
      </c>
      <c r="G61" s="3" t="s">
        <v>34</v>
      </c>
      <c r="H61" s="3" t="s">
        <v>35</v>
      </c>
      <c r="I61" s="3" t="s">
        <v>134</v>
      </c>
      <c r="J61" s="5">
        <v>1</v>
      </c>
      <c r="K61" s="3">
        <v>139.99</v>
      </c>
      <c r="L61" s="7">
        <v>0.05</v>
      </c>
      <c r="M61" s="3" t="s">
        <v>47</v>
      </c>
      <c r="N61" s="3">
        <v>139.99</v>
      </c>
      <c r="O61" s="3">
        <v>7</v>
      </c>
      <c r="P61" s="3">
        <v>132.99</v>
      </c>
    </row>
    <row r="62" spans="1:16" x14ac:dyDescent="0.3">
      <c r="A62" s="3" t="s">
        <v>228</v>
      </c>
      <c r="B62" s="15">
        <v>45946</v>
      </c>
      <c r="C62" s="15" t="str">
        <f t="shared" si="0"/>
        <v>October</v>
      </c>
      <c r="D62" s="3" t="s">
        <v>129</v>
      </c>
      <c r="E62" s="3" t="s">
        <v>32</v>
      </c>
      <c r="F62" s="3" t="s">
        <v>45</v>
      </c>
      <c r="G62" s="3" t="s">
        <v>20</v>
      </c>
      <c r="H62" s="3" t="s">
        <v>74</v>
      </c>
      <c r="I62" s="3" t="s">
        <v>112</v>
      </c>
      <c r="J62" s="5">
        <v>4</v>
      </c>
      <c r="K62" s="3">
        <v>129.99</v>
      </c>
      <c r="L62" s="7">
        <v>0.1</v>
      </c>
      <c r="M62" s="3" t="s">
        <v>80</v>
      </c>
      <c r="N62" s="3">
        <v>519.96</v>
      </c>
      <c r="O62" s="3">
        <v>52</v>
      </c>
      <c r="P62" s="3">
        <v>467.96</v>
      </c>
    </row>
    <row r="63" spans="1:16" x14ac:dyDescent="0.3">
      <c r="A63" s="3" t="s">
        <v>230</v>
      </c>
      <c r="B63" s="15">
        <v>45852</v>
      </c>
      <c r="C63" s="15" t="str">
        <f t="shared" si="0"/>
        <v>July</v>
      </c>
      <c r="D63" s="3" t="s">
        <v>232</v>
      </c>
      <c r="E63" s="3" t="s">
        <v>72</v>
      </c>
      <c r="F63" s="3" t="s">
        <v>73</v>
      </c>
      <c r="G63" s="3" t="s">
        <v>20</v>
      </c>
      <c r="H63" s="3" t="s">
        <v>74</v>
      </c>
      <c r="I63" s="3" t="s">
        <v>112</v>
      </c>
      <c r="J63" s="5">
        <v>1</v>
      </c>
      <c r="K63" s="3">
        <v>129.99</v>
      </c>
      <c r="L63" s="7">
        <v>0</v>
      </c>
      <c r="M63" s="3" t="s">
        <v>23</v>
      </c>
      <c r="N63" s="3">
        <v>129.99</v>
      </c>
      <c r="O63" s="3">
        <v>0</v>
      </c>
      <c r="P63" s="3">
        <v>129.99</v>
      </c>
    </row>
    <row r="64" spans="1:16" x14ac:dyDescent="0.3">
      <c r="A64" s="3" t="s">
        <v>233</v>
      </c>
      <c r="B64" s="15">
        <v>45699</v>
      </c>
      <c r="C64" s="15" t="str">
        <f t="shared" si="0"/>
        <v>February</v>
      </c>
      <c r="D64" s="3" t="s">
        <v>234</v>
      </c>
      <c r="E64" s="3" t="s">
        <v>72</v>
      </c>
      <c r="F64" s="3" t="s">
        <v>152</v>
      </c>
      <c r="G64" s="3" t="s">
        <v>20</v>
      </c>
      <c r="H64" s="3" t="s">
        <v>57</v>
      </c>
      <c r="I64" s="3" t="s">
        <v>189</v>
      </c>
      <c r="J64" s="5">
        <v>4</v>
      </c>
      <c r="K64" s="3">
        <v>119.99</v>
      </c>
      <c r="L64" s="7">
        <v>0</v>
      </c>
      <c r="M64" s="3" t="s">
        <v>80</v>
      </c>
      <c r="N64" s="3">
        <v>479.96</v>
      </c>
      <c r="O64" s="3">
        <v>0</v>
      </c>
      <c r="P64" s="3">
        <v>479.96</v>
      </c>
    </row>
    <row r="65" spans="1:16" x14ac:dyDescent="0.3">
      <c r="A65" s="3" t="s">
        <v>235</v>
      </c>
      <c r="B65" s="15">
        <v>45784</v>
      </c>
      <c r="C65" s="15" t="str">
        <f t="shared" si="0"/>
        <v>May</v>
      </c>
      <c r="D65" s="3" t="s">
        <v>236</v>
      </c>
      <c r="E65" s="3" t="s">
        <v>27</v>
      </c>
      <c r="F65" s="3" t="s">
        <v>123</v>
      </c>
      <c r="G65" s="3" t="s">
        <v>20</v>
      </c>
      <c r="H65" s="3" t="s">
        <v>57</v>
      </c>
      <c r="I65" s="3" t="s">
        <v>58</v>
      </c>
      <c r="J65" s="5">
        <v>1</v>
      </c>
      <c r="K65" s="3">
        <v>89.99</v>
      </c>
      <c r="L65" s="7">
        <v>0</v>
      </c>
      <c r="M65" s="3" t="s">
        <v>47</v>
      </c>
      <c r="N65" s="3">
        <v>89.99</v>
      </c>
      <c r="O65" s="3">
        <v>0</v>
      </c>
      <c r="P65" s="3">
        <v>89.99</v>
      </c>
    </row>
    <row r="66" spans="1:16" x14ac:dyDescent="0.3">
      <c r="A66" s="3" t="s">
        <v>237</v>
      </c>
      <c r="B66" s="15">
        <v>45896</v>
      </c>
      <c r="C66" s="15" t="str">
        <f t="shared" ref="C66:C129" si="1">TEXT(B66,"mmmm")</f>
        <v>August</v>
      </c>
      <c r="D66" s="3" t="s">
        <v>55</v>
      </c>
      <c r="E66" s="3" t="s">
        <v>72</v>
      </c>
      <c r="F66" s="3" t="s">
        <v>73</v>
      </c>
      <c r="G66" s="3" t="s">
        <v>34</v>
      </c>
      <c r="H66" s="3" t="s">
        <v>35</v>
      </c>
      <c r="I66" s="3" t="s">
        <v>41</v>
      </c>
      <c r="J66" s="5">
        <v>5</v>
      </c>
      <c r="K66" s="3">
        <v>104.99</v>
      </c>
      <c r="L66" s="7">
        <v>0</v>
      </c>
      <c r="M66" s="3" t="s">
        <v>37</v>
      </c>
      <c r="N66" s="3">
        <v>524.95000000000005</v>
      </c>
      <c r="O66" s="3">
        <v>0</v>
      </c>
      <c r="P66" s="3">
        <v>524.95000000000005</v>
      </c>
    </row>
    <row r="67" spans="1:16" x14ac:dyDescent="0.3">
      <c r="A67" s="3" t="s">
        <v>239</v>
      </c>
      <c r="B67" s="15">
        <v>45671</v>
      </c>
      <c r="C67" s="15" t="str">
        <f t="shared" si="1"/>
        <v>January</v>
      </c>
      <c r="D67" s="3" t="s">
        <v>122</v>
      </c>
      <c r="E67" s="3" t="s">
        <v>51</v>
      </c>
      <c r="F67" s="3" t="s">
        <v>52</v>
      </c>
      <c r="G67" s="3" t="s">
        <v>34</v>
      </c>
      <c r="H67" s="3" t="s">
        <v>35</v>
      </c>
      <c r="I67" s="3" t="s">
        <v>199</v>
      </c>
      <c r="J67" s="5">
        <v>1</v>
      </c>
      <c r="K67" s="3">
        <v>99.99</v>
      </c>
      <c r="L67" s="7">
        <v>0.1</v>
      </c>
      <c r="M67" s="3" t="s">
        <v>23</v>
      </c>
      <c r="N67" s="3">
        <v>99.99</v>
      </c>
      <c r="O67" s="3">
        <v>10</v>
      </c>
      <c r="P67" s="3">
        <v>89.99</v>
      </c>
    </row>
    <row r="68" spans="1:16" x14ac:dyDescent="0.3">
      <c r="A68" s="3" t="s">
        <v>241</v>
      </c>
      <c r="B68" s="15">
        <v>45979</v>
      </c>
      <c r="C68" s="15" t="str">
        <f t="shared" si="1"/>
        <v>November</v>
      </c>
      <c r="D68" s="3" t="s">
        <v>243</v>
      </c>
      <c r="E68" s="3" t="s">
        <v>51</v>
      </c>
      <c r="F68" s="3" t="s">
        <v>108</v>
      </c>
      <c r="G68" s="3" t="s">
        <v>20</v>
      </c>
      <c r="H68" s="3" t="s">
        <v>74</v>
      </c>
      <c r="I68" s="3" t="s">
        <v>143</v>
      </c>
      <c r="J68" s="5">
        <v>5</v>
      </c>
      <c r="K68" s="3">
        <v>99.99</v>
      </c>
      <c r="L68" s="7">
        <v>0.15</v>
      </c>
      <c r="M68" s="3" t="s">
        <v>37</v>
      </c>
      <c r="N68" s="3">
        <v>499.95</v>
      </c>
      <c r="O68" s="3">
        <v>74.989999999999995</v>
      </c>
      <c r="P68" s="3">
        <v>424.96</v>
      </c>
    </row>
    <row r="69" spans="1:16" x14ac:dyDescent="0.3">
      <c r="A69" s="3" t="s">
        <v>244</v>
      </c>
      <c r="B69" s="15">
        <v>45877</v>
      </c>
      <c r="C69" s="15" t="str">
        <f t="shared" si="1"/>
        <v>August</v>
      </c>
      <c r="D69" s="3" t="s">
        <v>129</v>
      </c>
      <c r="E69" s="3" t="s">
        <v>32</v>
      </c>
      <c r="F69" s="3" t="s">
        <v>45</v>
      </c>
      <c r="G69" s="3" t="s">
        <v>34</v>
      </c>
      <c r="H69" s="3" t="s">
        <v>62</v>
      </c>
      <c r="I69" s="3" t="s">
        <v>124</v>
      </c>
      <c r="J69" s="5">
        <v>3</v>
      </c>
      <c r="K69" s="3">
        <v>399.99</v>
      </c>
      <c r="L69" s="7">
        <v>0.1</v>
      </c>
      <c r="M69" s="3" t="s">
        <v>80</v>
      </c>
      <c r="N69" s="3">
        <v>1199.97</v>
      </c>
      <c r="O69" s="3">
        <v>120</v>
      </c>
      <c r="P69" s="3">
        <v>1079.97</v>
      </c>
    </row>
    <row r="70" spans="1:16" x14ac:dyDescent="0.3">
      <c r="A70" s="3" t="s">
        <v>246</v>
      </c>
      <c r="B70" s="15">
        <v>45879</v>
      </c>
      <c r="C70" s="15" t="str">
        <f t="shared" si="1"/>
        <v>August</v>
      </c>
      <c r="D70" s="3" t="s">
        <v>248</v>
      </c>
      <c r="E70" s="3" t="s">
        <v>27</v>
      </c>
      <c r="F70" s="3" t="s">
        <v>67</v>
      </c>
      <c r="G70" s="3" t="s">
        <v>34</v>
      </c>
      <c r="H70" s="3" t="s">
        <v>62</v>
      </c>
      <c r="I70" s="3" t="s">
        <v>249</v>
      </c>
      <c r="J70" s="5">
        <v>4</v>
      </c>
      <c r="K70" s="3">
        <v>49.99</v>
      </c>
      <c r="L70" s="7">
        <v>0</v>
      </c>
      <c r="M70" s="3" t="s">
        <v>23</v>
      </c>
      <c r="N70" s="3">
        <v>199.96</v>
      </c>
      <c r="O70" s="3">
        <v>0</v>
      </c>
      <c r="P70" s="3">
        <v>199.96</v>
      </c>
    </row>
    <row r="71" spans="1:16" x14ac:dyDescent="0.3">
      <c r="A71" s="3" t="s">
        <v>250</v>
      </c>
      <c r="B71" s="15">
        <v>45905</v>
      </c>
      <c r="C71" s="15" t="str">
        <f t="shared" si="1"/>
        <v>September</v>
      </c>
      <c r="D71" s="3" t="s">
        <v>83</v>
      </c>
      <c r="E71" s="3" t="s">
        <v>51</v>
      </c>
      <c r="F71" s="3" t="s">
        <v>52</v>
      </c>
      <c r="G71" s="3" t="s">
        <v>34</v>
      </c>
      <c r="H71" s="3" t="s">
        <v>35</v>
      </c>
      <c r="I71" s="3" t="s">
        <v>36</v>
      </c>
      <c r="J71" s="5">
        <v>5</v>
      </c>
      <c r="K71" s="3">
        <v>79.989999999999995</v>
      </c>
      <c r="L71" s="7">
        <v>0.1</v>
      </c>
      <c r="M71" s="3" t="s">
        <v>37</v>
      </c>
      <c r="N71" s="3">
        <v>399.95</v>
      </c>
      <c r="O71" s="3">
        <v>40</v>
      </c>
      <c r="P71" s="3">
        <v>359.95</v>
      </c>
    </row>
    <row r="72" spans="1:16" x14ac:dyDescent="0.3">
      <c r="A72" s="3" t="s">
        <v>252</v>
      </c>
      <c r="B72" s="15">
        <v>45895</v>
      </c>
      <c r="C72" s="15" t="str">
        <f t="shared" si="1"/>
        <v>August</v>
      </c>
      <c r="D72" s="3" t="s">
        <v>254</v>
      </c>
      <c r="E72" s="3" t="s">
        <v>27</v>
      </c>
      <c r="F72" s="3" t="s">
        <v>67</v>
      </c>
      <c r="G72" s="3" t="s">
        <v>34</v>
      </c>
      <c r="H72" s="3" t="s">
        <v>57</v>
      </c>
      <c r="I72" s="3" t="s">
        <v>58</v>
      </c>
      <c r="J72" s="5">
        <v>4</v>
      </c>
      <c r="K72" s="3">
        <v>89.99</v>
      </c>
      <c r="L72" s="7">
        <v>0</v>
      </c>
      <c r="M72" s="3" t="s">
        <v>37</v>
      </c>
      <c r="N72" s="3">
        <v>359.96</v>
      </c>
      <c r="O72" s="3">
        <v>0</v>
      </c>
      <c r="P72" s="3">
        <v>359.96</v>
      </c>
    </row>
    <row r="73" spans="1:16" x14ac:dyDescent="0.3">
      <c r="A73" s="3" t="s">
        <v>255</v>
      </c>
      <c r="B73" s="15">
        <v>45839</v>
      </c>
      <c r="C73" s="15" t="str">
        <f t="shared" si="1"/>
        <v>July</v>
      </c>
      <c r="D73" s="3" t="s">
        <v>256</v>
      </c>
      <c r="E73" s="3" t="s">
        <v>18</v>
      </c>
      <c r="F73" s="3" t="s">
        <v>19</v>
      </c>
      <c r="G73" s="3" t="s">
        <v>34</v>
      </c>
      <c r="H73" s="3" t="s">
        <v>21</v>
      </c>
      <c r="I73" s="3" t="s">
        <v>46</v>
      </c>
      <c r="J73" s="5">
        <v>4</v>
      </c>
      <c r="K73" s="3">
        <v>119.99</v>
      </c>
      <c r="L73" s="7">
        <v>0</v>
      </c>
      <c r="M73" s="3" t="s">
        <v>37</v>
      </c>
      <c r="N73" s="3">
        <v>479.96</v>
      </c>
      <c r="O73" s="3">
        <v>0</v>
      </c>
      <c r="P73" s="3">
        <v>479.96</v>
      </c>
    </row>
    <row r="74" spans="1:16" x14ac:dyDescent="0.3">
      <c r="A74" s="3" t="s">
        <v>257</v>
      </c>
      <c r="B74" s="15">
        <v>45701</v>
      </c>
      <c r="C74" s="15" t="str">
        <f t="shared" si="1"/>
        <v>February</v>
      </c>
      <c r="D74" s="3" t="s">
        <v>258</v>
      </c>
      <c r="E74" s="3" t="s">
        <v>32</v>
      </c>
      <c r="F74" s="3" t="s">
        <v>45</v>
      </c>
      <c r="G74" s="3" t="s">
        <v>34</v>
      </c>
      <c r="H74" s="3" t="s">
        <v>57</v>
      </c>
      <c r="I74" s="3" t="s">
        <v>189</v>
      </c>
      <c r="J74" s="5">
        <v>5</v>
      </c>
      <c r="K74" s="3">
        <v>119.99</v>
      </c>
      <c r="L74" s="7">
        <v>0</v>
      </c>
      <c r="M74" s="3" t="s">
        <v>23</v>
      </c>
      <c r="N74" s="3">
        <v>599.95000000000005</v>
      </c>
      <c r="O74" s="3">
        <v>0</v>
      </c>
      <c r="P74" s="3">
        <v>599.95000000000005</v>
      </c>
    </row>
    <row r="75" spans="1:16" x14ac:dyDescent="0.3">
      <c r="A75" s="3" t="s">
        <v>259</v>
      </c>
      <c r="B75" s="15">
        <v>45705</v>
      </c>
      <c r="C75" s="15" t="str">
        <f t="shared" si="1"/>
        <v>February</v>
      </c>
      <c r="D75" s="3" t="s">
        <v>44</v>
      </c>
      <c r="E75" s="3" t="s">
        <v>72</v>
      </c>
      <c r="F75" s="3" t="s">
        <v>152</v>
      </c>
      <c r="G75" s="3" t="s">
        <v>20</v>
      </c>
      <c r="H75" s="3" t="s">
        <v>62</v>
      </c>
      <c r="I75" s="3" t="s">
        <v>63</v>
      </c>
      <c r="J75" s="5">
        <v>4</v>
      </c>
      <c r="K75" s="3">
        <v>199.99</v>
      </c>
      <c r="L75" s="7">
        <v>0</v>
      </c>
      <c r="M75" s="3" t="s">
        <v>23</v>
      </c>
      <c r="N75" s="3">
        <v>799.96</v>
      </c>
      <c r="O75" s="3">
        <v>0</v>
      </c>
      <c r="P75" s="3">
        <v>799.96</v>
      </c>
    </row>
    <row r="76" spans="1:16" x14ac:dyDescent="0.3">
      <c r="A76" s="3" t="s">
        <v>260</v>
      </c>
      <c r="B76" s="15">
        <v>45929</v>
      </c>
      <c r="C76" s="15" t="str">
        <f t="shared" si="1"/>
        <v>September</v>
      </c>
      <c r="D76" s="3" t="s">
        <v>262</v>
      </c>
      <c r="E76" s="3" t="s">
        <v>32</v>
      </c>
      <c r="F76" s="3" t="s">
        <v>33</v>
      </c>
      <c r="G76" s="3" t="s">
        <v>34</v>
      </c>
      <c r="H76" s="3" t="s">
        <v>35</v>
      </c>
      <c r="I76" s="3" t="s">
        <v>134</v>
      </c>
      <c r="J76" s="5">
        <v>4</v>
      </c>
      <c r="K76" s="3">
        <v>139.99</v>
      </c>
      <c r="L76" s="7">
        <v>0.1</v>
      </c>
      <c r="M76" s="3" t="s">
        <v>37</v>
      </c>
      <c r="N76" s="3">
        <v>559.96</v>
      </c>
      <c r="O76" s="3">
        <v>56</v>
      </c>
      <c r="P76" s="3">
        <v>503.96</v>
      </c>
    </row>
    <row r="77" spans="1:16" x14ac:dyDescent="0.3">
      <c r="A77" s="3" t="s">
        <v>263</v>
      </c>
      <c r="B77" s="15">
        <v>45719</v>
      </c>
      <c r="C77" s="15" t="str">
        <f t="shared" si="1"/>
        <v>March</v>
      </c>
      <c r="D77" s="3" t="s">
        <v>265</v>
      </c>
      <c r="E77" s="3" t="s">
        <v>18</v>
      </c>
      <c r="F77" s="3" t="s">
        <v>56</v>
      </c>
      <c r="G77" s="3" t="s">
        <v>20</v>
      </c>
      <c r="H77" s="3" t="s">
        <v>57</v>
      </c>
      <c r="I77" s="3" t="s">
        <v>130</v>
      </c>
      <c r="J77" s="5">
        <v>3</v>
      </c>
      <c r="K77" s="3">
        <v>109.99</v>
      </c>
      <c r="L77" s="7">
        <v>0</v>
      </c>
      <c r="M77" s="3" t="s">
        <v>37</v>
      </c>
      <c r="N77" s="3">
        <v>329.97</v>
      </c>
      <c r="O77" s="3">
        <v>0</v>
      </c>
      <c r="P77" s="3">
        <v>329.97</v>
      </c>
    </row>
    <row r="78" spans="1:16" x14ac:dyDescent="0.3">
      <c r="A78" s="3" t="s">
        <v>266</v>
      </c>
      <c r="B78" s="15">
        <v>45799</v>
      </c>
      <c r="C78" s="15" t="str">
        <f t="shared" si="1"/>
        <v>May</v>
      </c>
      <c r="D78" s="3" t="s">
        <v>268</v>
      </c>
      <c r="E78" s="3" t="s">
        <v>51</v>
      </c>
      <c r="F78" s="3" t="s">
        <v>108</v>
      </c>
      <c r="G78" s="3" t="s">
        <v>34</v>
      </c>
      <c r="H78" s="3" t="s">
        <v>21</v>
      </c>
      <c r="I78" s="3" t="s">
        <v>68</v>
      </c>
      <c r="J78" s="5">
        <v>6</v>
      </c>
      <c r="K78" s="3">
        <v>129.99</v>
      </c>
      <c r="L78" s="7">
        <v>0.05</v>
      </c>
      <c r="M78" s="3" t="s">
        <v>80</v>
      </c>
      <c r="N78" s="3">
        <v>779.94</v>
      </c>
      <c r="O78" s="3">
        <v>39</v>
      </c>
      <c r="P78" s="3">
        <v>740.94</v>
      </c>
    </row>
    <row r="79" spans="1:16" x14ac:dyDescent="0.3">
      <c r="A79" s="3" t="s">
        <v>269</v>
      </c>
      <c r="B79" s="15">
        <v>45665</v>
      </c>
      <c r="C79" s="15" t="str">
        <f t="shared" si="1"/>
        <v>January</v>
      </c>
      <c r="D79" s="3" t="s">
        <v>271</v>
      </c>
      <c r="E79" s="3" t="s">
        <v>51</v>
      </c>
      <c r="F79" s="3" t="s">
        <v>52</v>
      </c>
      <c r="G79" s="3" t="s">
        <v>20</v>
      </c>
      <c r="H79" s="3" t="s">
        <v>35</v>
      </c>
      <c r="I79" s="3" t="s">
        <v>134</v>
      </c>
      <c r="J79" s="5">
        <v>2</v>
      </c>
      <c r="K79" s="3">
        <v>139.99</v>
      </c>
      <c r="L79" s="7">
        <v>0</v>
      </c>
      <c r="M79" s="3" t="s">
        <v>37</v>
      </c>
      <c r="N79" s="3">
        <v>279.98</v>
      </c>
      <c r="O79" s="3">
        <v>0</v>
      </c>
      <c r="P79" s="3">
        <v>279.98</v>
      </c>
    </row>
    <row r="80" spans="1:16" x14ac:dyDescent="0.3">
      <c r="A80" s="3" t="s">
        <v>272</v>
      </c>
      <c r="B80" s="15">
        <v>45984</v>
      </c>
      <c r="C80" s="15" t="str">
        <f t="shared" si="1"/>
        <v>November</v>
      </c>
      <c r="D80" s="3" t="s">
        <v>274</v>
      </c>
      <c r="E80" s="3" t="s">
        <v>32</v>
      </c>
      <c r="F80" s="3" t="s">
        <v>33</v>
      </c>
      <c r="G80" s="3" t="s">
        <v>34</v>
      </c>
      <c r="H80" s="3" t="s">
        <v>21</v>
      </c>
      <c r="I80" s="3" t="s">
        <v>22</v>
      </c>
      <c r="J80" s="5">
        <v>6</v>
      </c>
      <c r="K80" s="3">
        <v>89.99</v>
      </c>
      <c r="L80" s="7">
        <v>0</v>
      </c>
      <c r="M80" s="3" t="s">
        <v>80</v>
      </c>
      <c r="N80" s="3">
        <v>539.94000000000005</v>
      </c>
      <c r="O80" s="3">
        <v>0</v>
      </c>
      <c r="P80" s="3">
        <v>539.94000000000005</v>
      </c>
    </row>
    <row r="81" spans="1:16" x14ac:dyDescent="0.3">
      <c r="A81" s="3" t="s">
        <v>275</v>
      </c>
      <c r="B81" s="15">
        <v>45752</v>
      </c>
      <c r="C81" s="15" t="str">
        <f t="shared" si="1"/>
        <v>April</v>
      </c>
      <c r="D81" s="3" t="s">
        <v>277</v>
      </c>
      <c r="E81" s="3" t="s">
        <v>72</v>
      </c>
      <c r="F81" s="3" t="s">
        <v>152</v>
      </c>
      <c r="G81" s="3" t="s">
        <v>20</v>
      </c>
      <c r="H81" s="3" t="s">
        <v>21</v>
      </c>
      <c r="I81" s="3" t="s">
        <v>87</v>
      </c>
      <c r="J81" s="5">
        <v>4</v>
      </c>
      <c r="K81" s="3">
        <v>149.99</v>
      </c>
      <c r="L81" s="7">
        <v>0</v>
      </c>
      <c r="M81" s="3" t="s">
        <v>37</v>
      </c>
      <c r="N81" s="3">
        <v>599.96</v>
      </c>
      <c r="O81" s="3">
        <v>0</v>
      </c>
      <c r="P81" s="3">
        <v>599.96</v>
      </c>
    </row>
    <row r="82" spans="1:16" x14ac:dyDescent="0.3">
      <c r="A82" s="3" t="s">
        <v>278</v>
      </c>
      <c r="B82" s="15">
        <v>45953</v>
      </c>
      <c r="C82" s="15" t="str">
        <f t="shared" si="1"/>
        <v>October</v>
      </c>
      <c r="D82" s="3" t="s">
        <v>279</v>
      </c>
      <c r="E82" s="3" t="s">
        <v>27</v>
      </c>
      <c r="F82" s="3" t="s">
        <v>67</v>
      </c>
      <c r="G82" s="3" t="s">
        <v>20</v>
      </c>
      <c r="H82" s="3" t="s">
        <v>74</v>
      </c>
      <c r="I82" s="3" t="s">
        <v>112</v>
      </c>
      <c r="J82" s="5">
        <v>4</v>
      </c>
      <c r="K82" s="3">
        <v>129.99</v>
      </c>
      <c r="L82" s="7">
        <v>0</v>
      </c>
      <c r="M82" s="3" t="s">
        <v>47</v>
      </c>
      <c r="N82" s="3">
        <v>519.96</v>
      </c>
      <c r="O82" s="3">
        <v>0</v>
      </c>
      <c r="P82" s="3">
        <v>519.96</v>
      </c>
    </row>
    <row r="83" spans="1:16" x14ac:dyDescent="0.3">
      <c r="A83" s="3" t="s">
        <v>280</v>
      </c>
      <c r="B83" s="15">
        <v>45871</v>
      </c>
      <c r="C83" s="15" t="str">
        <f t="shared" si="1"/>
        <v>August</v>
      </c>
      <c r="D83" s="3" t="s">
        <v>282</v>
      </c>
      <c r="E83" s="3" t="s">
        <v>27</v>
      </c>
      <c r="F83" s="3" t="s">
        <v>28</v>
      </c>
      <c r="G83" s="3" t="s">
        <v>20</v>
      </c>
      <c r="H83" s="3" t="s">
        <v>35</v>
      </c>
      <c r="I83" s="3" t="s">
        <v>134</v>
      </c>
      <c r="J83" s="5">
        <v>1</v>
      </c>
      <c r="K83" s="3">
        <v>139.99</v>
      </c>
      <c r="L83" s="7">
        <v>0.1</v>
      </c>
      <c r="M83" s="3" t="s">
        <v>23</v>
      </c>
      <c r="N83" s="3">
        <v>139.99</v>
      </c>
      <c r="O83" s="3">
        <v>14</v>
      </c>
      <c r="P83" s="3">
        <v>125.99</v>
      </c>
    </row>
    <row r="84" spans="1:16" x14ac:dyDescent="0.3">
      <c r="A84" s="3" t="s">
        <v>283</v>
      </c>
      <c r="B84" s="15">
        <v>45975</v>
      </c>
      <c r="C84" s="15" t="str">
        <f t="shared" si="1"/>
        <v>November</v>
      </c>
      <c r="D84" s="3" t="s">
        <v>133</v>
      </c>
      <c r="E84" s="3" t="s">
        <v>18</v>
      </c>
      <c r="F84" s="3" t="s">
        <v>56</v>
      </c>
      <c r="G84" s="3" t="s">
        <v>20</v>
      </c>
      <c r="H84" s="3" t="s">
        <v>74</v>
      </c>
      <c r="I84" s="3" t="s">
        <v>75</v>
      </c>
      <c r="J84" s="5">
        <v>3</v>
      </c>
      <c r="K84" s="3">
        <v>299.99</v>
      </c>
      <c r="L84" s="7">
        <v>0.1</v>
      </c>
      <c r="M84" s="3" t="s">
        <v>47</v>
      </c>
      <c r="N84" s="3">
        <v>899.97</v>
      </c>
      <c r="O84" s="3">
        <v>90</v>
      </c>
      <c r="P84" s="3">
        <v>809.97</v>
      </c>
    </row>
    <row r="85" spans="1:16" x14ac:dyDescent="0.3">
      <c r="A85" s="3" t="s">
        <v>285</v>
      </c>
      <c r="B85" s="15">
        <v>45940</v>
      </c>
      <c r="C85" s="15" t="str">
        <f t="shared" si="1"/>
        <v>October</v>
      </c>
      <c r="D85" s="3" t="s">
        <v>286</v>
      </c>
      <c r="E85" s="3" t="s">
        <v>27</v>
      </c>
      <c r="F85" s="3" t="s">
        <v>28</v>
      </c>
      <c r="G85" s="3" t="s">
        <v>20</v>
      </c>
      <c r="H85" s="3" t="s">
        <v>35</v>
      </c>
      <c r="I85" s="3" t="s">
        <v>134</v>
      </c>
      <c r="J85" s="5">
        <v>2</v>
      </c>
      <c r="K85" s="3">
        <v>139.99</v>
      </c>
      <c r="L85" s="7">
        <v>0</v>
      </c>
      <c r="M85" s="3" t="s">
        <v>80</v>
      </c>
      <c r="N85" s="3">
        <v>279.98</v>
      </c>
      <c r="O85" s="3">
        <v>0</v>
      </c>
      <c r="P85" s="3">
        <v>279.98</v>
      </c>
    </row>
    <row r="86" spans="1:16" x14ac:dyDescent="0.3">
      <c r="A86" s="3" t="s">
        <v>287</v>
      </c>
      <c r="B86" s="15">
        <v>45776</v>
      </c>
      <c r="C86" s="15" t="str">
        <f t="shared" si="1"/>
        <v>April</v>
      </c>
      <c r="D86" s="3" t="s">
        <v>289</v>
      </c>
      <c r="E86" s="3" t="s">
        <v>32</v>
      </c>
      <c r="F86" s="3" t="s">
        <v>33</v>
      </c>
      <c r="G86" s="3" t="s">
        <v>34</v>
      </c>
      <c r="H86" s="3" t="s">
        <v>74</v>
      </c>
      <c r="I86" s="3" t="s">
        <v>75</v>
      </c>
      <c r="J86" s="5">
        <v>3</v>
      </c>
      <c r="K86" s="3">
        <v>299.99</v>
      </c>
      <c r="L86" s="7">
        <v>0</v>
      </c>
      <c r="M86" s="3" t="s">
        <v>23</v>
      </c>
      <c r="N86" s="3">
        <v>899.97</v>
      </c>
      <c r="O86" s="3">
        <v>0</v>
      </c>
      <c r="P86" s="3">
        <v>899.97</v>
      </c>
    </row>
    <row r="87" spans="1:16" x14ac:dyDescent="0.3">
      <c r="A87" s="3" t="s">
        <v>290</v>
      </c>
      <c r="B87" s="15">
        <v>45936</v>
      </c>
      <c r="C87" s="15" t="str">
        <f t="shared" si="1"/>
        <v>October</v>
      </c>
      <c r="D87" s="3" t="s">
        <v>174</v>
      </c>
      <c r="E87" s="3" t="s">
        <v>18</v>
      </c>
      <c r="F87" s="3" t="s">
        <v>19</v>
      </c>
      <c r="G87" s="3" t="s">
        <v>20</v>
      </c>
      <c r="H87" s="3" t="s">
        <v>21</v>
      </c>
      <c r="I87" s="3" t="s">
        <v>68</v>
      </c>
      <c r="J87" s="5">
        <v>4</v>
      </c>
      <c r="K87" s="3">
        <v>129.99</v>
      </c>
      <c r="L87" s="7">
        <v>0</v>
      </c>
      <c r="M87" s="3" t="s">
        <v>37</v>
      </c>
      <c r="N87" s="3">
        <v>519.96</v>
      </c>
      <c r="O87" s="3">
        <v>0</v>
      </c>
      <c r="P87" s="3">
        <v>519.96</v>
      </c>
    </row>
    <row r="88" spans="1:16" x14ac:dyDescent="0.3">
      <c r="A88" s="3" t="s">
        <v>292</v>
      </c>
      <c r="B88" s="15">
        <v>45949</v>
      </c>
      <c r="C88" s="15" t="str">
        <f t="shared" si="1"/>
        <v>October</v>
      </c>
      <c r="D88" s="3" t="s">
        <v>294</v>
      </c>
      <c r="E88" s="3" t="s">
        <v>27</v>
      </c>
      <c r="F88" s="3" t="s">
        <v>28</v>
      </c>
      <c r="G88" s="3" t="s">
        <v>34</v>
      </c>
      <c r="H88" s="3" t="s">
        <v>35</v>
      </c>
      <c r="I88" s="3" t="s">
        <v>199</v>
      </c>
      <c r="J88" s="5">
        <v>3</v>
      </c>
      <c r="K88" s="3">
        <v>99.99</v>
      </c>
      <c r="L88" s="7">
        <v>0.1</v>
      </c>
      <c r="M88" s="3" t="s">
        <v>23</v>
      </c>
      <c r="N88" s="3">
        <v>299.97000000000003</v>
      </c>
      <c r="O88" s="3">
        <v>30</v>
      </c>
      <c r="P88" s="3">
        <v>269.97000000000003</v>
      </c>
    </row>
    <row r="89" spans="1:16" x14ac:dyDescent="0.3">
      <c r="A89" s="3" t="s">
        <v>295</v>
      </c>
      <c r="B89" s="15">
        <v>45934</v>
      </c>
      <c r="C89" s="15" t="str">
        <f t="shared" si="1"/>
        <v>October</v>
      </c>
      <c r="D89" s="3" t="s">
        <v>297</v>
      </c>
      <c r="E89" s="3" t="s">
        <v>18</v>
      </c>
      <c r="F89" s="3" t="s">
        <v>56</v>
      </c>
      <c r="G89" s="3" t="s">
        <v>34</v>
      </c>
      <c r="H89" s="3" t="s">
        <v>21</v>
      </c>
      <c r="I89" s="3" t="s">
        <v>46</v>
      </c>
      <c r="J89" s="5">
        <v>3</v>
      </c>
      <c r="K89" s="3">
        <v>119.99</v>
      </c>
      <c r="L89" s="7">
        <v>0.1</v>
      </c>
      <c r="M89" s="3" t="s">
        <v>80</v>
      </c>
      <c r="N89" s="3">
        <v>359.97</v>
      </c>
      <c r="O89" s="3">
        <v>36</v>
      </c>
      <c r="P89" s="3">
        <v>323.97000000000003</v>
      </c>
    </row>
    <row r="90" spans="1:16" x14ac:dyDescent="0.3">
      <c r="A90" s="3" t="s">
        <v>298</v>
      </c>
      <c r="B90" s="15">
        <v>45671</v>
      </c>
      <c r="C90" s="15" t="str">
        <f t="shared" si="1"/>
        <v>January</v>
      </c>
      <c r="D90" s="3" t="s">
        <v>78</v>
      </c>
      <c r="E90" s="3" t="s">
        <v>72</v>
      </c>
      <c r="F90" s="3" t="s">
        <v>152</v>
      </c>
      <c r="G90" s="3" t="s">
        <v>20</v>
      </c>
      <c r="H90" s="3" t="s">
        <v>62</v>
      </c>
      <c r="I90" s="3" t="s">
        <v>124</v>
      </c>
      <c r="J90" s="5">
        <v>5</v>
      </c>
      <c r="K90" s="3">
        <v>399.99</v>
      </c>
      <c r="L90" s="7">
        <v>0</v>
      </c>
      <c r="M90" s="3" t="s">
        <v>80</v>
      </c>
      <c r="N90" s="3">
        <v>1999.95</v>
      </c>
      <c r="O90" s="3">
        <v>0</v>
      </c>
      <c r="P90" s="3">
        <v>1999.95</v>
      </c>
    </row>
    <row r="91" spans="1:16" x14ac:dyDescent="0.3">
      <c r="A91" s="3" t="s">
        <v>299</v>
      </c>
      <c r="B91" s="15">
        <v>45884</v>
      </c>
      <c r="C91" s="15" t="str">
        <f t="shared" si="1"/>
        <v>August</v>
      </c>
      <c r="D91" s="3" t="s">
        <v>206</v>
      </c>
      <c r="E91" s="3" t="s">
        <v>51</v>
      </c>
      <c r="F91" s="3" t="s">
        <v>52</v>
      </c>
      <c r="G91" s="3" t="s">
        <v>34</v>
      </c>
      <c r="H91" s="3" t="s">
        <v>57</v>
      </c>
      <c r="I91" s="3" t="s">
        <v>300</v>
      </c>
      <c r="J91" s="5">
        <v>5</v>
      </c>
      <c r="K91" s="3">
        <v>179.99</v>
      </c>
      <c r="L91" s="7">
        <v>0.15</v>
      </c>
      <c r="M91" s="3" t="s">
        <v>47</v>
      </c>
      <c r="N91" s="3">
        <v>899.95</v>
      </c>
      <c r="O91" s="3">
        <v>134.99</v>
      </c>
      <c r="P91" s="3">
        <v>764.96</v>
      </c>
    </row>
    <row r="92" spans="1:16" x14ac:dyDescent="0.3">
      <c r="A92" s="3" t="s">
        <v>301</v>
      </c>
      <c r="B92" s="15">
        <v>45867</v>
      </c>
      <c r="C92" s="15" t="str">
        <f t="shared" si="1"/>
        <v>July</v>
      </c>
      <c r="D92" s="3" t="s">
        <v>303</v>
      </c>
      <c r="E92" s="3" t="s">
        <v>72</v>
      </c>
      <c r="F92" s="3" t="s">
        <v>73</v>
      </c>
      <c r="G92" s="3" t="s">
        <v>34</v>
      </c>
      <c r="H92" s="3" t="s">
        <v>62</v>
      </c>
      <c r="I92" s="3" t="s">
        <v>79</v>
      </c>
      <c r="J92" s="5">
        <v>4</v>
      </c>
      <c r="K92" s="3">
        <v>249.99</v>
      </c>
      <c r="L92" s="7">
        <v>0</v>
      </c>
      <c r="M92" s="3" t="s">
        <v>80</v>
      </c>
      <c r="N92" s="3">
        <v>999.96</v>
      </c>
      <c r="O92" s="3">
        <v>0</v>
      </c>
      <c r="P92" s="3">
        <v>999.96</v>
      </c>
    </row>
    <row r="93" spans="1:16" x14ac:dyDescent="0.3">
      <c r="A93" s="3" t="s">
        <v>304</v>
      </c>
      <c r="B93" s="15">
        <v>45863</v>
      </c>
      <c r="C93" s="15" t="str">
        <f t="shared" si="1"/>
        <v>July</v>
      </c>
      <c r="D93" s="3" t="s">
        <v>306</v>
      </c>
      <c r="E93" s="3" t="s">
        <v>72</v>
      </c>
      <c r="F93" s="3" t="s">
        <v>152</v>
      </c>
      <c r="G93" s="3" t="s">
        <v>20</v>
      </c>
      <c r="H93" s="3" t="s">
        <v>35</v>
      </c>
      <c r="I93" s="3" t="s">
        <v>134</v>
      </c>
      <c r="J93" s="5">
        <v>3</v>
      </c>
      <c r="K93" s="3">
        <v>139.99</v>
      </c>
      <c r="L93" s="7">
        <v>0.15</v>
      </c>
      <c r="M93" s="3" t="s">
        <v>23</v>
      </c>
      <c r="N93" s="3">
        <v>419.97</v>
      </c>
      <c r="O93" s="3">
        <v>63</v>
      </c>
      <c r="P93" s="3">
        <v>356.97</v>
      </c>
    </row>
    <row r="94" spans="1:16" x14ac:dyDescent="0.3">
      <c r="A94" s="3" t="s">
        <v>307</v>
      </c>
      <c r="B94" s="15">
        <v>45921</v>
      </c>
      <c r="C94" s="15" t="str">
        <f t="shared" si="1"/>
        <v>September</v>
      </c>
      <c r="D94" s="3" t="s">
        <v>309</v>
      </c>
      <c r="E94" s="3" t="s">
        <v>18</v>
      </c>
      <c r="F94" s="3" t="s">
        <v>56</v>
      </c>
      <c r="G94" s="3" t="s">
        <v>20</v>
      </c>
      <c r="H94" s="3" t="s">
        <v>21</v>
      </c>
      <c r="I94" s="3" t="s">
        <v>87</v>
      </c>
      <c r="J94" s="5">
        <v>1</v>
      </c>
      <c r="K94" s="3">
        <v>149.99</v>
      </c>
      <c r="L94" s="7">
        <v>0.05</v>
      </c>
      <c r="M94" s="3" t="s">
        <v>23</v>
      </c>
      <c r="N94" s="3">
        <v>149.99</v>
      </c>
      <c r="O94" s="3">
        <v>7.5</v>
      </c>
      <c r="P94" s="3">
        <v>142.49</v>
      </c>
    </row>
    <row r="95" spans="1:16" x14ac:dyDescent="0.3">
      <c r="A95" s="3" t="s">
        <v>310</v>
      </c>
      <c r="B95" s="15">
        <v>45978</v>
      </c>
      <c r="C95" s="15" t="str">
        <f t="shared" si="1"/>
        <v>November</v>
      </c>
      <c r="D95" s="3" t="s">
        <v>312</v>
      </c>
      <c r="E95" s="3" t="s">
        <v>51</v>
      </c>
      <c r="F95" s="3" t="s">
        <v>52</v>
      </c>
      <c r="G95" s="3" t="s">
        <v>20</v>
      </c>
      <c r="H95" s="3" t="s">
        <v>74</v>
      </c>
      <c r="I95" s="3" t="s">
        <v>112</v>
      </c>
      <c r="J95" s="5">
        <v>5</v>
      </c>
      <c r="K95" s="3">
        <v>129.99</v>
      </c>
      <c r="L95" s="7">
        <v>0.05</v>
      </c>
      <c r="M95" s="3" t="s">
        <v>47</v>
      </c>
      <c r="N95" s="3">
        <v>649.95000000000005</v>
      </c>
      <c r="O95" s="3">
        <v>32.5</v>
      </c>
      <c r="P95" s="3">
        <v>617.45000000000005</v>
      </c>
    </row>
    <row r="96" spans="1:16" x14ac:dyDescent="0.3">
      <c r="A96" s="3" t="s">
        <v>313</v>
      </c>
      <c r="B96" s="15">
        <v>45720</v>
      </c>
      <c r="C96" s="15" t="str">
        <f t="shared" si="1"/>
        <v>March</v>
      </c>
      <c r="D96" s="3" t="s">
        <v>315</v>
      </c>
      <c r="E96" s="3" t="s">
        <v>18</v>
      </c>
      <c r="F96" s="3" t="s">
        <v>56</v>
      </c>
      <c r="G96" s="3" t="s">
        <v>20</v>
      </c>
      <c r="H96" s="3" t="s">
        <v>57</v>
      </c>
      <c r="I96" s="3" t="s">
        <v>58</v>
      </c>
      <c r="J96" s="5">
        <v>6</v>
      </c>
      <c r="K96" s="3">
        <v>89.99</v>
      </c>
      <c r="L96" s="7">
        <v>0.05</v>
      </c>
      <c r="M96" s="3" t="s">
        <v>47</v>
      </c>
      <c r="N96" s="3">
        <v>539.94000000000005</v>
      </c>
      <c r="O96" s="3">
        <v>27</v>
      </c>
      <c r="P96" s="3">
        <v>512.94000000000005</v>
      </c>
    </row>
    <row r="97" spans="1:16" x14ac:dyDescent="0.3">
      <c r="A97" s="3" t="s">
        <v>316</v>
      </c>
      <c r="B97" s="15">
        <v>45716</v>
      </c>
      <c r="C97" s="15" t="str">
        <f t="shared" si="1"/>
        <v>February</v>
      </c>
      <c r="D97" s="3" t="s">
        <v>318</v>
      </c>
      <c r="E97" s="3" t="s">
        <v>32</v>
      </c>
      <c r="F97" s="3" t="s">
        <v>33</v>
      </c>
      <c r="G97" s="3" t="s">
        <v>20</v>
      </c>
      <c r="H97" s="3" t="s">
        <v>57</v>
      </c>
      <c r="I97" s="3" t="s">
        <v>300</v>
      </c>
      <c r="J97" s="5">
        <v>1</v>
      </c>
      <c r="K97" s="3">
        <v>179.99</v>
      </c>
      <c r="L97" s="7">
        <v>0</v>
      </c>
      <c r="M97" s="3" t="s">
        <v>47</v>
      </c>
      <c r="N97" s="3">
        <v>179.99</v>
      </c>
      <c r="O97" s="3">
        <v>0</v>
      </c>
      <c r="P97" s="3">
        <v>179.99</v>
      </c>
    </row>
    <row r="98" spans="1:16" x14ac:dyDescent="0.3">
      <c r="A98" s="3" t="s">
        <v>319</v>
      </c>
      <c r="B98" s="15">
        <v>45899</v>
      </c>
      <c r="C98" s="15" t="str">
        <f t="shared" si="1"/>
        <v>August</v>
      </c>
      <c r="D98" s="3" t="s">
        <v>243</v>
      </c>
      <c r="E98" s="3" t="s">
        <v>18</v>
      </c>
      <c r="F98" s="3" t="s">
        <v>56</v>
      </c>
      <c r="G98" s="3" t="s">
        <v>34</v>
      </c>
      <c r="H98" s="3" t="s">
        <v>74</v>
      </c>
      <c r="I98" s="3" t="s">
        <v>143</v>
      </c>
      <c r="J98" s="5">
        <v>4</v>
      </c>
      <c r="K98" s="3">
        <v>99.99</v>
      </c>
      <c r="L98" s="7">
        <v>0.05</v>
      </c>
      <c r="M98" s="3" t="s">
        <v>47</v>
      </c>
      <c r="N98" s="3">
        <v>399.96</v>
      </c>
      <c r="O98" s="3">
        <v>20</v>
      </c>
      <c r="P98" s="3">
        <v>379.96</v>
      </c>
    </row>
    <row r="99" spans="1:16" x14ac:dyDescent="0.3">
      <c r="A99" s="3" t="s">
        <v>321</v>
      </c>
      <c r="B99" s="15">
        <v>45870</v>
      </c>
      <c r="C99" s="15" t="str">
        <f t="shared" si="1"/>
        <v>August</v>
      </c>
      <c r="D99" s="3" t="s">
        <v>323</v>
      </c>
      <c r="E99" s="3" t="s">
        <v>32</v>
      </c>
      <c r="F99" s="3" t="s">
        <v>45</v>
      </c>
      <c r="G99" s="3" t="s">
        <v>34</v>
      </c>
      <c r="H99" s="3" t="s">
        <v>74</v>
      </c>
      <c r="I99" s="3" t="s">
        <v>112</v>
      </c>
      <c r="J99" s="5">
        <v>1</v>
      </c>
      <c r="K99" s="3">
        <v>129.99</v>
      </c>
      <c r="L99" s="7">
        <v>0</v>
      </c>
      <c r="M99" s="3" t="s">
        <v>80</v>
      </c>
      <c r="N99" s="3">
        <v>129.99</v>
      </c>
      <c r="O99" s="3">
        <v>0</v>
      </c>
      <c r="P99" s="3">
        <v>129.99</v>
      </c>
    </row>
    <row r="100" spans="1:16" x14ac:dyDescent="0.3">
      <c r="A100" s="3" t="s">
        <v>324</v>
      </c>
      <c r="B100" s="15">
        <v>45933</v>
      </c>
      <c r="C100" s="15" t="str">
        <f t="shared" si="1"/>
        <v>October</v>
      </c>
      <c r="D100" s="3" t="s">
        <v>325</v>
      </c>
      <c r="E100" s="3" t="s">
        <v>32</v>
      </c>
      <c r="F100" s="3" t="s">
        <v>33</v>
      </c>
      <c r="G100" s="3" t="s">
        <v>34</v>
      </c>
      <c r="H100" s="3" t="s">
        <v>57</v>
      </c>
      <c r="I100" s="3" t="s">
        <v>189</v>
      </c>
      <c r="J100" s="5">
        <v>2</v>
      </c>
      <c r="K100" s="3">
        <v>119.99</v>
      </c>
      <c r="L100" s="7">
        <v>0.05</v>
      </c>
      <c r="M100" s="3" t="s">
        <v>37</v>
      </c>
      <c r="N100" s="3">
        <v>239.98</v>
      </c>
      <c r="O100" s="3">
        <v>12</v>
      </c>
      <c r="P100" s="3">
        <v>227.98</v>
      </c>
    </row>
    <row r="101" spans="1:16" x14ac:dyDescent="0.3">
      <c r="A101" s="3" t="s">
        <v>326</v>
      </c>
      <c r="B101" s="15">
        <v>45780</v>
      </c>
      <c r="C101" s="15" t="str">
        <f t="shared" si="1"/>
        <v>May</v>
      </c>
      <c r="D101" s="3" t="s">
        <v>328</v>
      </c>
      <c r="E101" s="3" t="s">
        <v>72</v>
      </c>
      <c r="F101" s="3" t="s">
        <v>152</v>
      </c>
      <c r="G101" s="3" t="s">
        <v>34</v>
      </c>
      <c r="H101" s="3" t="s">
        <v>62</v>
      </c>
      <c r="I101" s="3" t="s">
        <v>79</v>
      </c>
      <c r="J101" s="5">
        <v>2</v>
      </c>
      <c r="K101" s="3">
        <v>249.99</v>
      </c>
      <c r="L101" s="7">
        <v>0.15</v>
      </c>
      <c r="M101" s="3" t="s">
        <v>47</v>
      </c>
      <c r="N101" s="3">
        <v>499.98</v>
      </c>
      <c r="O101" s="3">
        <v>75</v>
      </c>
      <c r="P101" s="3">
        <v>424.98</v>
      </c>
    </row>
    <row r="102" spans="1:16" x14ac:dyDescent="0.3">
      <c r="A102" s="3" t="s">
        <v>329</v>
      </c>
      <c r="B102" s="15">
        <v>45855</v>
      </c>
      <c r="C102" s="15" t="str">
        <f t="shared" si="1"/>
        <v>July</v>
      </c>
      <c r="D102" s="3" t="s">
        <v>129</v>
      </c>
      <c r="E102" s="3" t="s">
        <v>18</v>
      </c>
      <c r="F102" s="3" t="s">
        <v>56</v>
      </c>
      <c r="G102" s="3" t="s">
        <v>20</v>
      </c>
      <c r="H102" s="3" t="s">
        <v>74</v>
      </c>
      <c r="I102" s="3" t="s">
        <v>112</v>
      </c>
      <c r="J102" s="5">
        <v>6</v>
      </c>
      <c r="K102" s="3">
        <v>129.99</v>
      </c>
      <c r="L102" s="7">
        <v>0.05</v>
      </c>
      <c r="M102" s="3" t="s">
        <v>23</v>
      </c>
      <c r="N102" s="3">
        <v>779.94</v>
      </c>
      <c r="O102" s="3">
        <v>39</v>
      </c>
      <c r="P102" s="3">
        <v>740.94</v>
      </c>
    </row>
    <row r="103" spans="1:16" x14ac:dyDescent="0.3">
      <c r="A103" s="3" t="s">
        <v>331</v>
      </c>
      <c r="B103" s="15">
        <v>45709</v>
      </c>
      <c r="C103" s="15" t="str">
        <f t="shared" si="1"/>
        <v>February</v>
      </c>
      <c r="D103" s="3" t="s">
        <v>332</v>
      </c>
      <c r="E103" s="3" t="s">
        <v>32</v>
      </c>
      <c r="F103" s="3" t="s">
        <v>33</v>
      </c>
      <c r="G103" s="3" t="s">
        <v>34</v>
      </c>
      <c r="H103" s="3" t="s">
        <v>21</v>
      </c>
      <c r="I103" s="3" t="s">
        <v>68</v>
      </c>
      <c r="J103" s="5">
        <v>1</v>
      </c>
      <c r="K103" s="3">
        <v>129.99</v>
      </c>
      <c r="L103" s="7">
        <v>0.05</v>
      </c>
      <c r="M103" s="3" t="s">
        <v>80</v>
      </c>
      <c r="N103" s="3">
        <v>129.99</v>
      </c>
      <c r="O103" s="3">
        <v>6.5</v>
      </c>
      <c r="P103" s="3">
        <v>123.49</v>
      </c>
    </row>
    <row r="104" spans="1:16" x14ac:dyDescent="0.3">
      <c r="A104" s="3" t="s">
        <v>333</v>
      </c>
      <c r="B104" s="15">
        <v>45831</v>
      </c>
      <c r="C104" s="15" t="str">
        <f t="shared" si="1"/>
        <v>June</v>
      </c>
      <c r="D104" s="3" t="s">
        <v>185</v>
      </c>
      <c r="E104" s="3" t="s">
        <v>51</v>
      </c>
      <c r="F104" s="3" t="s">
        <v>108</v>
      </c>
      <c r="G104" s="3" t="s">
        <v>34</v>
      </c>
      <c r="H104" s="3" t="s">
        <v>35</v>
      </c>
      <c r="I104" s="3" t="s">
        <v>36</v>
      </c>
      <c r="J104" s="5">
        <v>4</v>
      </c>
      <c r="K104" s="3">
        <v>79.989999999999995</v>
      </c>
      <c r="L104" s="7">
        <v>0</v>
      </c>
      <c r="M104" s="3" t="s">
        <v>80</v>
      </c>
      <c r="N104" s="3">
        <v>319.95999999999998</v>
      </c>
      <c r="O104" s="3">
        <v>0</v>
      </c>
      <c r="P104" s="3">
        <v>319.95999999999998</v>
      </c>
    </row>
    <row r="105" spans="1:16" x14ac:dyDescent="0.3">
      <c r="A105" s="3" t="s">
        <v>335</v>
      </c>
      <c r="B105" s="15">
        <v>45974</v>
      </c>
      <c r="C105" s="15" t="str">
        <f t="shared" si="1"/>
        <v>November</v>
      </c>
      <c r="D105" s="3" t="s">
        <v>337</v>
      </c>
      <c r="E105" s="3" t="s">
        <v>18</v>
      </c>
      <c r="F105" s="3" t="s">
        <v>56</v>
      </c>
      <c r="G105" s="3" t="s">
        <v>20</v>
      </c>
      <c r="H105" s="3" t="s">
        <v>57</v>
      </c>
      <c r="I105" s="3" t="s">
        <v>130</v>
      </c>
      <c r="J105" s="5">
        <v>5</v>
      </c>
      <c r="K105" s="3">
        <v>109.99</v>
      </c>
      <c r="L105" s="7">
        <v>0</v>
      </c>
      <c r="M105" s="3" t="s">
        <v>37</v>
      </c>
      <c r="N105" s="3">
        <v>549.95000000000005</v>
      </c>
      <c r="O105" s="3">
        <v>0</v>
      </c>
      <c r="P105" s="3">
        <v>549.95000000000005</v>
      </c>
    </row>
    <row r="106" spans="1:16" x14ac:dyDescent="0.3">
      <c r="A106" s="3" t="s">
        <v>338</v>
      </c>
      <c r="B106" s="15">
        <v>45709</v>
      </c>
      <c r="C106" s="15" t="str">
        <f t="shared" si="1"/>
        <v>February</v>
      </c>
      <c r="D106" s="3" t="s">
        <v>312</v>
      </c>
      <c r="E106" s="3" t="s">
        <v>72</v>
      </c>
      <c r="F106" s="3" t="s">
        <v>73</v>
      </c>
      <c r="G106" s="3" t="s">
        <v>20</v>
      </c>
      <c r="H106" s="3" t="s">
        <v>35</v>
      </c>
      <c r="I106" s="3" t="s">
        <v>199</v>
      </c>
      <c r="J106" s="5">
        <v>6</v>
      </c>
      <c r="K106" s="3">
        <v>99.99</v>
      </c>
      <c r="L106" s="7">
        <v>0.15</v>
      </c>
      <c r="M106" s="3" t="s">
        <v>37</v>
      </c>
      <c r="N106" s="3">
        <v>599.94000000000005</v>
      </c>
      <c r="O106" s="3">
        <v>89.99</v>
      </c>
      <c r="P106" s="3">
        <v>509.95</v>
      </c>
    </row>
    <row r="107" spans="1:16" x14ac:dyDescent="0.3">
      <c r="A107" s="3" t="s">
        <v>339</v>
      </c>
      <c r="B107" s="15">
        <v>45849</v>
      </c>
      <c r="C107" s="15" t="str">
        <f t="shared" si="1"/>
        <v>July</v>
      </c>
      <c r="D107" s="3" t="s">
        <v>340</v>
      </c>
      <c r="E107" s="3" t="s">
        <v>18</v>
      </c>
      <c r="F107" s="3" t="s">
        <v>19</v>
      </c>
      <c r="G107" s="3" t="s">
        <v>20</v>
      </c>
      <c r="H107" s="3" t="s">
        <v>21</v>
      </c>
      <c r="I107" s="3" t="s">
        <v>22</v>
      </c>
      <c r="J107" s="5">
        <v>3</v>
      </c>
      <c r="K107" s="3">
        <v>89.99</v>
      </c>
      <c r="L107" s="7">
        <v>0</v>
      </c>
      <c r="M107" s="3" t="s">
        <v>47</v>
      </c>
      <c r="N107" s="3">
        <v>269.97000000000003</v>
      </c>
      <c r="O107" s="3">
        <v>0</v>
      </c>
      <c r="P107" s="3">
        <v>269.97000000000003</v>
      </c>
    </row>
    <row r="108" spans="1:16" x14ac:dyDescent="0.3">
      <c r="A108" s="3" t="s">
        <v>341</v>
      </c>
      <c r="B108" s="15">
        <v>45698</v>
      </c>
      <c r="C108" s="15" t="str">
        <f t="shared" si="1"/>
        <v>February</v>
      </c>
      <c r="D108" s="3" t="s">
        <v>343</v>
      </c>
      <c r="E108" s="3" t="s">
        <v>32</v>
      </c>
      <c r="F108" s="3" t="s">
        <v>45</v>
      </c>
      <c r="G108" s="3" t="s">
        <v>34</v>
      </c>
      <c r="H108" s="3" t="s">
        <v>62</v>
      </c>
      <c r="I108" s="3" t="s">
        <v>79</v>
      </c>
      <c r="J108" s="5">
        <v>2</v>
      </c>
      <c r="K108" s="3">
        <v>249.99</v>
      </c>
      <c r="L108" s="7">
        <v>0</v>
      </c>
      <c r="M108" s="3" t="s">
        <v>47</v>
      </c>
      <c r="N108" s="3">
        <v>499.98</v>
      </c>
      <c r="O108" s="3">
        <v>0</v>
      </c>
      <c r="P108" s="3">
        <v>499.98</v>
      </c>
    </row>
    <row r="109" spans="1:16" x14ac:dyDescent="0.3">
      <c r="A109" s="3" t="s">
        <v>344</v>
      </c>
      <c r="B109" s="15">
        <v>45788</v>
      </c>
      <c r="C109" s="15" t="str">
        <f t="shared" si="1"/>
        <v>May</v>
      </c>
      <c r="D109" s="3" t="s">
        <v>346</v>
      </c>
      <c r="E109" s="3" t="s">
        <v>51</v>
      </c>
      <c r="F109" s="3" t="s">
        <v>108</v>
      </c>
      <c r="G109" s="3" t="s">
        <v>34</v>
      </c>
      <c r="H109" s="3" t="s">
        <v>74</v>
      </c>
      <c r="I109" s="3" t="s">
        <v>143</v>
      </c>
      <c r="J109" s="5">
        <v>4</v>
      </c>
      <c r="K109" s="3">
        <v>99.99</v>
      </c>
      <c r="L109" s="7">
        <v>0.15</v>
      </c>
      <c r="M109" s="3" t="s">
        <v>80</v>
      </c>
      <c r="N109" s="3">
        <v>399.96</v>
      </c>
      <c r="O109" s="3">
        <v>59.99</v>
      </c>
      <c r="P109" s="3">
        <v>339.97</v>
      </c>
    </row>
    <row r="110" spans="1:16" x14ac:dyDescent="0.3">
      <c r="A110" s="3" t="s">
        <v>347</v>
      </c>
      <c r="B110" s="15">
        <v>45834</v>
      </c>
      <c r="C110" s="15" t="str">
        <f t="shared" si="1"/>
        <v>June</v>
      </c>
      <c r="D110" s="3" t="s">
        <v>349</v>
      </c>
      <c r="E110" s="3" t="s">
        <v>32</v>
      </c>
      <c r="F110" s="3" t="s">
        <v>45</v>
      </c>
      <c r="G110" s="3" t="s">
        <v>34</v>
      </c>
      <c r="H110" s="3" t="s">
        <v>74</v>
      </c>
      <c r="I110" s="3" t="s">
        <v>75</v>
      </c>
      <c r="J110" s="5">
        <v>1</v>
      </c>
      <c r="K110" s="3">
        <v>299.99</v>
      </c>
      <c r="L110" s="7">
        <v>0.05</v>
      </c>
      <c r="M110" s="3" t="s">
        <v>23</v>
      </c>
      <c r="N110" s="3">
        <v>299.99</v>
      </c>
      <c r="O110" s="3">
        <v>15</v>
      </c>
      <c r="P110" s="3">
        <v>284.99</v>
      </c>
    </row>
    <row r="111" spans="1:16" x14ac:dyDescent="0.3">
      <c r="A111" s="3" t="s">
        <v>350</v>
      </c>
      <c r="B111" s="15">
        <v>45712</v>
      </c>
      <c r="C111" s="15" t="str">
        <f t="shared" si="1"/>
        <v>February</v>
      </c>
      <c r="D111" s="3" t="s">
        <v>352</v>
      </c>
      <c r="E111" s="3" t="s">
        <v>18</v>
      </c>
      <c r="F111" s="3" t="s">
        <v>19</v>
      </c>
      <c r="G111" s="3" t="s">
        <v>34</v>
      </c>
      <c r="H111" s="3" t="s">
        <v>57</v>
      </c>
      <c r="I111" s="3" t="s">
        <v>130</v>
      </c>
      <c r="J111" s="5">
        <v>4</v>
      </c>
      <c r="K111" s="3">
        <v>109.99</v>
      </c>
      <c r="L111" s="7">
        <v>0.05</v>
      </c>
      <c r="M111" s="3" t="s">
        <v>37</v>
      </c>
      <c r="N111" s="3">
        <v>439.96</v>
      </c>
      <c r="O111" s="3">
        <v>22</v>
      </c>
      <c r="P111" s="3">
        <v>417.96</v>
      </c>
    </row>
    <row r="112" spans="1:16" x14ac:dyDescent="0.3">
      <c r="A112" s="3" t="s">
        <v>353</v>
      </c>
      <c r="B112" s="15">
        <v>45798</v>
      </c>
      <c r="C112" s="15" t="str">
        <f t="shared" si="1"/>
        <v>May</v>
      </c>
      <c r="D112" s="3" t="s">
        <v>146</v>
      </c>
      <c r="E112" s="3" t="s">
        <v>18</v>
      </c>
      <c r="F112" s="3" t="s">
        <v>19</v>
      </c>
      <c r="G112" s="3" t="s">
        <v>20</v>
      </c>
      <c r="H112" s="3" t="s">
        <v>62</v>
      </c>
      <c r="I112" s="3" t="s">
        <v>249</v>
      </c>
      <c r="J112" s="5">
        <v>6</v>
      </c>
      <c r="K112" s="3">
        <v>49.99</v>
      </c>
      <c r="L112" s="7">
        <v>0.05</v>
      </c>
      <c r="M112" s="3" t="s">
        <v>23</v>
      </c>
      <c r="N112" s="3">
        <v>299.94</v>
      </c>
      <c r="O112" s="3">
        <v>15</v>
      </c>
      <c r="P112" s="3">
        <v>284.94</v>
      </c>
    </row>
    <row r="113" spans="1:16" x14ac:dyDescent="0.3">
      <c r="A113" s="3" t="s">
        <v>355</v>
      </c>
      <c r="B113" s="15">
        <v>45755</v>
      </c>
      <c r="C113" s="15" t="str">
        <f t="shared" si="1"/>
        <v>April</v>
      </c>
      <c r="D113" s="3" t="s">
        <v>356</v>
      </c>
      <c r="E113" s="3" t="s">
        <v>32</v>
      </c>
      <c r="F113" s="3" t="s">
        <v>33</v>
      </c>
      <c r="G113" s="3" t="s">
        <v>34</v>
      </c>
      <c r="H113" s="3" t="s">
        <v>57</v>
      </c>
      <c r="I113" s="3" t="s">
        <v>58</v>
      </c>
      <c r="J113" s="5">
        <v>2</v>
      </c>
      <c r="K113" s="3">
        <v>89.99</v>
      </c>
      <c r="L113" s="7">
        <v>0.15</v>
      </c>
      <c r="M113" s="3" t="s">
        <v>47</v>
      </c>
      <c r="N113" s="3">
        <v>179.98</v>
      </c>
      <c r="O113" s="3">
        <v>27</v>
      </c>
      <c r="P113" s="3">
        <v>152.97999999999999</v>
      </c>
    </row>
    <row r="114" spans="1:16" x14ac:dyDescent="0.3">
      <c r="A114" s="3" t="s">
        <v>357</v>
      </c>
      <c r="B114" s="15">
        <v>45844</v>
      </c>
      <c r="C114" s="15" t="str">
        <f t="shared" si="1"/>
        <v>July</v>
      </c>
      <c r="D114" s="3" t="s">
        <v>95</v>
      </c>
      <c r="E114" s="3" t="s">
        <v>18</v>
      </c>
      <c r="F114" s="3" t="s">
        <v>56</v>
      </c>
      <c r="G114" s="3" t="s">
        <v>20</v>
      </c>
      <c r="H114" s="3" t="s">
        <v>21</v>
      </c>
      <c r="I114" s="3" t="s">
        <v>22</v>
      </c>
      <c r="J114" s="5">
        <v>1</v>
      </c>
      <c r="K114" s="3">
        <v>89.99</v>
      </c>
      <c r="L114" s="7">
        <v>0.1</v>
      </c>
      <c r="M114" s="3" t="s">
        <v>80</v>
      </c>
      <c r="N114" s="3">
        <v>89.99</v>
      </c>
      <c r="O114" s="3">
        <v>9</v>
      </c>
      <c r="P114" s="3">
        <v>80.989999999999995</v>
      </c>
    </row>
    <row r="115" spans="1:16" x14ac:dyDescent="0.3">
      <c r="A115" s="3" t="s">
        <v>359</v>
      </c>
      <c r="B115" s="15">
        <v>45934</v>
      </c>
      <c r="C115" s="15" t="str">
        <f t="shared" si="1"/>
        <v>October</v>
      </c>
      <c r="D115" s="3" t="s">
        <v>360</v>
      </c>
      <c r="E115" s="3" t="s">
        <v>72</v>
      </c>
      <c r="F115" s="3" t="s">
        <v>73</v>
      </c>
      <c r="G115" s="3" t="s">
        <v>34</v>
      </c>
      <c r="H115" s="3" t="s">
        <v>57</v>
      </c>
      <c r="I115" s="3" t="s">
        <v>189</v>
      </c>
      <c r="J115" s="5">
        <v>2</v>
      </c>
      <c r="K115" s="3">
        <v>119.99</v>
      </c>
      <c r="L115" s="7">
        <v>0</v>
      </c>
      <c r="M115" s="3" t="s">
        <v>37</v>
      </c>
      <c r="N115" s="3">
        <v>239.98</v>
      </c>
      <c r="O115" s="3">
        <v>0</v>
      </c>
      <c r="P115" s="3">
        <v>239.98</v>
      </c>
    </row>
    <row r="116" spans="1:16" x14ac:dyDescent="0.3">
      <c r="A116" s="3" t="s">
        <v>361</v>
      </c>
      <c r="B116" s="15">
        <v>45716</v>
      </c>
      <c r="C116" s="15" t="str">
        <f t="shared" si="1"/>
        <v>February</v>
      </c>
      <c r="D116" s="3" t="s">
        <v>83</v>
      </c>
      <c r="E116" s="3" t="s">
        <v>72</v>
      </c>
      <c r="F116" s="3" t="s">
        <v>152</v>
      </c>
      <c r="G116" s="3" t="s">
        <v>20</v>
      </c>
      <c r="H116" s="3" t="s">
        <v>35</v>
      </c>
      <c r="I116" s="3" t="s">
        <v>134</v>
      </c>
      <c r="J116" s="5">
        <v>6</v>
      </c>
      <c r="K116" s="3">
        <v>139.99</v>
      </c>
      <c r="L116" s="7">
        <v>0</v>
      </c>
      <c r="M116" s="3" t="s">
        <v>47</v>
      </c>
      <c r="N116" s="3">
        <v>839.94</v>
      </c>
      <c r="O116" s="3">
        <v>0</v>
      </c>
      <c r="P116" s="3">
        <v>839.94</v>
      </c>
    </row>
    <row r="117" spans="1:16" x14ac:dyDescent="0.3">
      <c r="A117" s="3" t="s">
        <v>362</v>
      </c>
      <c r="B117" s="15">
        <v>45665</v>
      </c>
      <c r="C117" s="15" t="str">
        <f t="shared" si="1"/>
        <v>January</v>
      </c>
      <c r="D117" s="3" t="s">
        <v>363</v>
      </c>
      <c r="E117" s="3" t="s">
        <v>32</v>
      </c>
      <c r="F117" s="3" t="s">
        <v>33</v>
      </c>
      <c r="G117" s="3" t="s">
        <v>20</v>
      </c>
      <c r="H117" s="3" t="s">
        <v>35</v>
      </c>
      <c r="I117" s="3" t="s">
        <v>36</v>
      </c>
      <c r="J117" s="5">
        <v>1</v>
      </c>
      <c r="K117" s="3">
        <v>79.989999999999995</v>
      </c>
      <c r="L117" s="7">
        <v>0.05</v>
      </c>
      <c r="M117" s="3" t="s">
        <v>23</v>
      </c>
      <c r="N117" s="3">
        <v>79.989999999999995</v>
      </c>
      <c r="O117" s="3">
        <v>4</v>
      </c>
      <c r="P117" s="3">
        <v>75.989999999999995</v>
      </c>
    </row>
    <row r="118" spans="1:16" x14ac:dyDescent="0.3">
      <c r="A118" s="3" t="s">
        <v>364</v>
      </c>
      <c r="B118" s="15">
        <v>45713</v>
      </c>
      <c r="C118" s="15" t="str">
        <f t="shared" si="1"/>
        <v>February</v>
      </c>
      <c r="D118" s="3" t="s">
        <v>195</v>
      </c>
      <c r="E118" s="3" t="s">
        <v>32</v>
      </c>
      <c r="F118" s="3" t="s">
        <v>33</v>
      </c>
      <c r="G118" s="3" t="s">
        <v>20</v>
      </c>
      <c r="H118" s="3" t="s">
        <v>57</v>
      </c>
      <c r="I118" s="3" t="s">
        <v>189</v>
      </c>
      <c r="J118" s="5">
        <v>6</v>
      </c>
      <c r="K118" s="3">
        <v>119.99</v>
      </c>
      <c r="L118" s="7">
        <v>0</v>
      </c>
      <c r="M118" s="3" t="s">
        <v>23</v>
      </c>
      <c r="N118" s="3">
        <v>719.94</v>
      </c>
      <c r="O118" s="3">
        <v>0</v>
      </c>
      <c r="P118" s="3">
        <v>719.94</v>
      </c>
    </row>
    <row r="119" spans="1:16" x14ac:dyDescent="0.3">
      <c r="A119" s="3" t="s">
        <v>365</v>
      </c>
      <c r="B119" s="15">
        <v>45983</v>
      </c>
      <c r="C119" s="15" t="str">
        <f t="shared" si="1"/>
        <v>November</v>
      </c>
      <c r="D119" s="3" t="s">
        <v>367</v>
      </c>
      <c r="E119" s="3" t="s">
        <v>32</v>
      </c>
      <c r="F119" s="3" t="s">
        <v>45</v>
      </c>
      <c r="G119" s="3" t="s">
        <v>34</v>
      </c>
      <c r="H119" s="3" t="s">
        <v>21</v>
      </c>
      <c r="I119" s="3" t="s">
        <v>87</v>
      </c>
      <c r="J119" s="5">
        <v>6</v>
      </c>
      <c r="K119" s="3">
        <v>149.99</v>
      </c>
      <c r="L119" s="7">
        <v>0</v>
      </c>
      <c r="M119" s="3" t="s">
        <v>37</v>
      </c>
      <c r="N119" s="3">
        <v>899.94</v>
      </c>
      <c r="O119" s="3">
        <v>0</v>
      </c>
      <c r="P119" s="3">
        <v>899.94</v>
      </c>
    </row>
    <row r="120" spans="1:16" x14ac:dyDescent="0.3">
      <c r="A120" s="3" t="s">
        <v>368</v>
      </c>
      <c r="B120" s="15">
        <v>45910</v>
      </c>
      <c r="C120" s="15" t="str">
        <f t="shared" si="1"/>
        <v>September</v>
      </c>
      <c r="D120" s="3" t="s">
        <v>369</v>
      </c>
      <c r="E120" s="3" t="s">
        <v>51</v>
      </c>
      <c r="F120" s="3" t="s">
        <v>108</v>
      </c>
      <c r="G120" s="3" t="s">
        <v>20</v>
      </c>
      <c r="H120" s="3" t="s">
        <v>74</v>
      </c>
      <c r="I120" s="3" t="s">
        <v>112</v>
      </c>
      <c r="J120" s="5">
        <v>1</v>
      </c>
      <c r="K120" s="3">
        <v>129.99</v>
      </c>
      <c r="L120" s="7">
        <v>0</v>
      </c>
      <c r="M120" s="3" t="s">
        <v>47</v>
      </c>
      <c r="N120" s="3">
        <v>129.99</v>
      </c>
      <c r="O120" s="3">
        <v>0</v>
      </c>
      <c r="P120" s="3">
        <v>129.99</v>
      </c>
    </row>
    <row r="121" spans="1:16" x14ac:dyDescent="0.3">
      <c r="A121" s="3" t="s">
        <v>370</v>
      </c>
      <c r="B121" s="15">
        <v>46014</v>
      </c>
      <c r="C121" s="15" t="str">
        <f t="shared" si="1"/>
        <v>December</v>
      </c>
      <c r="D121" s="3" t="s">
        <v>372</v>
      </c>
      <c r="E121" s="3" t="s">
        <v>72</v>
      </c>
      <c r="F121" s="3" t="s">
        <v>152</v>
      </c>
      <c r="G121" s="3" t="s">
        <v>34</v>
      </c>
      <c r="H121" s="3" t="s">
        <v>62</v>
      </c>
      <c r="I121" s="3" t="s">
        <v>63</v>
      </c>
      <c r="J121" s="5">
        <v>3</v>
      </c>
      <c r="K121" s="3">
        <v>199.99</v>
      </c>
      <c r="L121" s="7">
        <v>0.15</v>
      </c>
      <c r="M121" s="3" t="s">
        <v>47</v>
      </c>
      <c r="N121" s="3">
        <v>599.97</v>
      </c>
      <c r="O121" s="3">
        <v>90</v>
      </c>
      <c r="P121" s="3">
        <v>509.97</v>
      </c>
    </row>
    <row r="122" spans="1:16" x14ac:dyDescent="0.3">
      <c r="A122" s="3" t="s">
        <v>373</v>
      </c>
      <c r="B122" s="15">
        <v>45801</v>
      </c>
      <c r="C122" s="15" t="str">
        <f t="shared" si="1"/>
        <v>May</v>
      </c>
      <c r="D122" s="3" t="s">
        <v>375</v>
      </c>
      <c r="E122" s="3" t="s">
        <v>27</v>
      </c>
      <c r="F122" s="3" t="s">
        <v>67</v>
      </c>
      <c r="G122" s="3" t="s">
        <v>34</v>
      </c>
      <c r="H122" s="3" t="s">
        <v>74</v>
      </c>
      <c r="I122" s="3" t="s">
        <v>143</v>
      </c>
      <c r="J122" s="5">
        <v>5</v>
      </c>
      <c r="K122" s="3">
        <v>99.99</v>
      </c>
      <c r="L122" s="7">
        <v>0.05</v>
      </c>
      <c r="M122" s="3" t="s">
        <v>47</v>
      </c>
      <c r="N122" s="3">
        <v>499.95</v>
      </c>
      <c r="O122" s="3">
        <v>25</v>
      </c>
      <c r="P122" s="3">
        <v>474.95</v>
      </c>
    </row>
    <row r="123" spans="1:16" x14ac:dyDescent="0.3">
      <c r="A123" s="3" t="s">
        <v>376</v>
      </c>
      <c r="B123" s="15">
        <v>45846</v>
      </c>
      <c r="C123" s="15" t="str">
        <f t="shared" si="1"/>
        <v>July</v>
      </c>
      <c r="D123" s="3" t="s">
        <v>378</v>
      </c>
      <c r="E123" s="3" t="s">
        <v>51</v>
      </c>
      <c r="F123" s="3" t="s">
        <v>52</v>
      </c>
      <c r="G123" s="3" t="s">
        <v>34</v>
      </c>
      <c r="H123" s="3" t="s">
        <v>74</v>
      </c>
      <c r="I123" s="3" t="s">
        <v>75</v>
      </c>
      <c r="J123" s="5">
        <v>1</v>
      </c>
      <c r="K123" s="3">
        <v>299.99</v>
      </c>
      <c r="L123" s="7">
        <v>0.15</v>
      </c>
      <c r="M123" s="3" t="s">
        <v>80</v>
      </c>
      <c r="N123" s="3">
        <v>299.99</v>
      </c>
      <c r="O123" s="3">
        <v>45</v>
      </c>
      <c r="P123" s="3">
        <v>254.99</v>
      </c>
    </row>
    <row r="124" spans="1:16" x14ac:dyDescent="0.3">
      <c r="A124" s="3" t="s">
        <v>379</v>
      </c>
      <c r="B124" s="15">
        <v>45997</v>
      </c>
      <c r="C124" s="15" t="str">
        <f t="shared" si="1"/>
        <v>December</v>
      </c>
      <c r="D124" s="3" t="s">
        <v>66</v>
      </c>
      <c r="E124" s="3" t="s">
        <v>51</v>
      </c>
      <c r="F124" s="3" t="s">
        <v>108</v>
      </c>
      <c r="G124" s="3" t="s">
        <v>20</v>
      </c>
      <c r="H124" s="3" t="s">
        <v>74</v>
      </c>
      <c r="I124" s="3" t="s">
        <v>75</v>
      </c>
      <c r="J124" s="5">
        <v>4</v>
      </c>
      <c r="K124" s="3">
        <v>299.99</v>
      </c>
      <c r="L124" s="7">
        <v>0</v>
      </c>
      <c r="M124" s="3" t="s">
        <v>80</v>
      </c>
      <c r="N124" s="3">
        <v>1199.96</v>
      </c>
      <c r="O124" s="3">
        <v>0</v>
      </c>
      <c r="P124" s="3">
        <v>1199.96</v>
      </c>
    </row>
    <row r="125" spans="1:16" x14ac:dyDescent="0.3">
      <c r="A125" s="3" t="s">
        <v>381</v>
      </c>
      <c r="B125" s="15">
        <v>45764</v>
      </c>
      <c r="C125" s="15" t="str">
        <f t="shared" si="1"/>
        <v>April</v>
      </c>
      <c r="D125" s="3" t="s">
        <v>349</v>
      </c>
      <c r="E125" s="3" t="s">
        <v>51</v>
      </c>
      <c r="F125" s="3" t="s">
        <v>108</v>
      </c>
      <c r="G125" s="3" t="s">
        <v>20</v>
      </c>
      <c r="H125" s="3" t="s">
        <v>57</v>
      </c>
      <c r="I125" s="3" t="s">
        <v>58</v>
      </c>
      <c r="J125" s="5">
        <v>1</v>
      </c>
      <c r="K125" s="3">
        <v>89.99</v>
      </c>
      <c r="L125" s="7">
        <v>0.1</v>
      </c>
      <c r="M125" s="3" t="s">
        <v>47</v>
      </c>
      <c r="N125" s="3">
        <v>89.99</v>
      </c>
      <c r="O125" s="3">
        <v>9</v>
      </c>
      <c r="P125" s="3">
        <v>80.989999999999995</v>
      </c>
    </row>
    <row r="126" spans="1:16" x14ac:dyDescent="0.3">
      <c r="A126" s="3" t="s">
        <v>383</v>
      </c>
      <c r="B126" s="15">
        <v>45724</v>
      </c>
      <c r="C126" s="15" t="str">
        <f t="shared" si="1"/>
        <v>March</v>
      </c>
      <c r="D126" s="3" t="s">
        <v>385</v>
      </c>
      <c r="E126" s="3" t="s">
        <v>32</v>
      </c>
      <c r="F126" s="3" t="s">
        <v>45</v>
      </c>
      <c r="G126" s="3" t="s">
        <v>34</v>
      </c>
      <c r="H126" s="3" t="s">
        <v>57</v>
      </c>
      <c r="I126" s="3" t="s">
        <v>58</v>
      </c>
      <c r="J126" s="5">
        <v>3</v>
      </c>
      <c r="K126" s="3">
        <v>89.99</v>
      </c>
      <c r="L126" s="7">
        <v>0</v>
      </c>
      <c r="M126" s="3" t="s">
        <v>47</v>
      </c>
      <c r="N126" s="3">
        <v>269.97000000000003</v>
      </c>
      <c r="O126" s="3">
        <v>0</v>
      </c>
      <c r="P126" s="3">
        <v>269.97000000000003</v>
      </c>
    </row>
    <row r="127" spans="1:16" x14ac:dyDescent="0.3">
      <c r="A127" s="3" t="s">
        <v>386</v>
      </c>
      <c r="B127" s="15">
        <v>45959</v>
      </c>
      <c r="C127" s="15" t="str">
        <f t="shared" si="1"/>
        <v>October</v>
      </c>
      <c r="D127" s="3" t="s">
        <v>388</v>
      </c>
      <c r="E127" s="3" t="s">
        <v>51</v>
      </c>
      <c r="F127" s="3" t="s">
        <v>108</v>
      </c>
      <c r="G127" s="3" t="s">
        <v>20</v>
      </c>
      <c r="H127" s="3" t="s">
        <v>21</v>
      </c>
      <c r="I127" s="3" t="s">
        <v>22</v>
      </c>
      <c r="J127" s="5">
        <v>3</v>
      </c>
      <c r="K127" s="3">
        <v>89.99</v>
      </c>
      <c r="L127" s="7">
        <v>0</v>
      </c>
      <c r="M127" s="3" t="s">
        <v>47</v>
      </c>
      <c r="N127" s="3">
        <v>269.97000000000003</v>
      </c>
      <c r="O127" s="3">
        <v>0</v>
      </c>
      <c r="P127" s="3">
        <v>269.97000000000003</v>
      </c>
    </row>
    <row r="128" spans="1:16" x14ac:dyDescent="0.3">
      <c r="A128" s="3" t="s">
        <v>389</v>
      </c>
      <c r="B128" s="15">
        <v>45690</v>
      </c>
      <c r="C128" s="15" t="str">
        <f t="shared" si="1"/>
        <v>February</v>
      </c>
      <c r="D128" s="3" t="s">
        <v>111</v>
      </c>
      <c r="E128" s="3" t="s">
        <v>51</v>
      </c>
      <c r="F128" s="3" t="s">
        <v>52</v>
      </c>
      <c r="G128" s="3" t="s">
        <v>34</v>
      </c>
      <c r="H128" s="3" t="s">
        <v>57</v>
      </c>
      <c r="I128" s="3" t="s">
        <v>300</v>
      </c>
      <c r="J128" s="5">
        <v>5</v>
      </c>
      <c r="K128" s="3">
        <v>179.99</v>
      </c>
      <c r="L128" s="7">
        <v>0</v>
      </c>
      <c r="M128" s="3" t="s">
        <v>37</v>
      </c>
      <c r="N128" s="3">
        <v>899.95</v>
      </c>
      <c r="O128" s="3">
        <v>0</v>
      </c>
      <c r="P128" s="3">
        <v>899.95</v>
      </c>
    </row>
    <row r="129" spans="1:16" x14ac:dyDescent="0.3">
      <c r="A129" s="3" t="s">
        <v>390</v>
      </c>
      <c r="B129" s="15">
        <v>45995</v>
      </c>
      <c r="C129" s="15" t="str">
        <f t="shared" si="1"/>
        <v>December</v>
      </c>
      <c r="D129" s="3" t="s">
        <v>392</v>
      </c>
      <c r="E129" s="3" t="s">
        <v>72</v>
      </c>
      <c r="F129" s="3" t="s">
        <v>73</v>
      </c>
      <c r="G129" s="3" t="s">
        <v>34</v>
      </c>
      <c r="H129" s="3" t="s">
        <v>62</v>
      </c>
      <c r="I129" s="3" t="s">
        <v>124</v>
      </c>
      <c r="J129" s="5">
        <v>5</v>
      </c>
      <c r="K129" s="3">
        <v>399.99</v>
      </c>
      <c r="L129" s="7">
        <v>0</v>
      </c>
      <c r="M129" s="3" t="s">
        <v>23</v>
      </c>
      <c r="N129" s="3">
        <v>1999.95</v>
      </c>
      <c r="O129" s="3">
        <v>0</v>
      </c>
      <c r="P129" s="3">
        <v>1999.95</v>
      </c>
    </row>
    <row r="130" spans="1:16" x14ac:dyDescent="0.3">
      <c r="A130" s="3" t="s">
        <v>393</v>
      </c>
      <c r="B130" s="15">
        <v>45713</v>
      </c>
      <c r="C130" s="15" t="str">
        <f t="shared" ref="C130:C193" si="2">TEXT(B130,"mmmm")</f>
        <v>February</v>
      </c>
      <c r="D130" s="3" t="s">
        <v>394</v>
      </c>
      <c r="E130" s="3" t="s">
        <v>72</v>
      </c>
      <c r="F130" s="3" t="s">
        <v>152</v>
      </c>
      <c r="G130" s="3" t="s">
        <v>34</v>
      </c>
      <c r="H130" s="3" t="s">
        <v>21</v>
      </c>
      <c r="I130" s="3" t="s">
        <v>22</v>
      </c>
      <c r="J130" s="5">
        <v>4</v>
      </c>
      <c r="K130" s="3">
        <v>89.99</v>
      </c>
      <c r="L130" s="7">
        <v>0.15</v>
      </c>
      <c r="M130" s="3" t="s">
        <v>80</v>
      </c>
      <c r="N130" s="3">
        <v>359.96</v>
      </c>
      <c r="O130" s="3">
        <v>53.99</v>
      </c>
      <c r="P130" s="3">
        <v>305.97000000000003</v>
      </c>
    </row>
    <row r="131" spans="1:16" x14ac:dyDescent="0.3">
      <c r="A131" s="3" t="s">
        <v>395</v>
      </c>
      <c r="B131" s="15">
        <v>45798</v>
      </c>
      <c r="C131" s="15" t="str">
        <f t="shared" si="2"/>
        <v>May</v>
      </c>
      <c r="D131" s="3" t="s">
        <v>185</v>
      </c>
      <c r="E131" s="3" t="s">
        <v>32</v>
      </c>
      <c r="F131" s="3" t="s">
        <v>45</v>
      </c>
      <c r="G131" s="3" t="s">
        <v>34</v>
      </c>
      <c r="H131" s="3" t="s">
        <v>21</v>
      </c>
      <c r="I131" s="3" t="s">
        <v>87</v>
      </c>
      <c r="J131" s="5">
        <v>1</v>
      </c>
      <c r="K131" s="3">
        <v>149.99</v>
      </c>
      <c r="L131" s="7">
        <v>0</v>
      </c>
      <c r="M131" s="3" t="s">
        <v>23</v>
      </c>
      <c r="N131" s="3">
        <v>149.99</v>
      </c>
      <c r="O131" s="3">
        <v>0</v>
      </c>
      <c r="P131" s="3">
        <v>149.99</v>
      </c>
    </row>
    <row r="132" spans="1:16" x14ac:dyDescent="0.3">
      <c r="A132" s="3" t="s">
        <v>396</v>
      </c>
      <c r="B132" s="15">
        <v>45716</v>
      </c>
      <c r="C132" s="15" t="str">
        <f t="shared" si="2"/>
        <v>February</v>
      </c>
      <c r="D132" s="3" t="s">
        <v>397</v>
      </c>
      <c r="E132" s="3" t="s">
        <v>72</v>
      </c>
      <c r="F132" s="3" t="s">
        <v>152</v>
      </c>
      <c r="G132" s="3" t="s">
        <v>20</v>
      </c>
      <c r="H132" s="3" t="s">
        <v>62</v>
      </c>
      <c r="I132" s="3" t="s">
        <v>249</v>
      </c>
      <c r="J132" s="5">
        <v>1</v>
      </c>
      <c r="K132" s="3">
        <v>49.99</v>
      </c>
      <c r="L132" s="7">
        <v>0.15</v>
      </c>
      <c r="M132" s="3" t="s">
        <v>23</v>
      </c>
      <c r="N132" s="3">
        <v>49.99</v>
      </c>
      <c r="O132" s="3">
        <v>7.5</v>
      </c>
      <c r="P132" s="3">
        <v>42.49</v>
      </c>
    </row>
    <row r="133" spans="1:16" x14ac:dyDescent="0.3">
      <c r="A133" s="3" t="s">
        <v>398</v>
      </c>
      <c r="B133" s="15">
        <v>45870</v>
      </c>
      <c r="C133" s="15" t="str">
        <f t="shared" si="2"/>
        <v>August</v>
      </c>
      <c r="D133" s="3" t="s">
        <v>399</v>
      </c>
      <c r="E133" s="3" t="s">
        <v>72</v>
      </c>
      <c r="F133" s="3" t="s">
        <v>152</v>
      </c>
      <c r="G133" s="3" t="s">
        <v>20</v>
      </c>
      <c r="H133" s="3" t="s">
        <v>74</v>
      </c>
      <c r="I133" s="3" t="s">
        <v>112</v>
      </c>
      <c r="J133" s="5">
        <v>4</v>
      </c>
      <c r="K133" s="3">
        <v>129.99</v>
      </c>
      <c r="L133" s="7">
        <v>0.05</v>
      </c>
      <c r="M133" s="3" t="s">
        <v>37</v>
      </c>
      <c r="N133" s="3">
        <v>519.96</v>
      </c>
      <c r="O133" s="3">
        <v>26</v>
      </c>
      <c r="P133" s="3">
        <v>493.96</v>
      </c>
    </row>
    <row r="134" spans="1:16" x14ac:dyDescent="0.3">
      <c r="A134" s="3" t="s">
        <v>400</v>
      </c>
      <c r="B134" s="15">
        <v>45900</v>
      </c>
      <c r="C134" s="15" t="str">
        <f t="shared" si="2"/>
        <v>August</v>
      </c>
      <c r="D134" s="3" t="s">
        <v>337</v>
      </c>
      <c r="E134" s="3" t="s">
        <v>18</v>
      </c>
      <c r="F134" s="3" t="s">
        <v>56</v>
      </c>
      <c r="G134" s="3" t="s">
        <v>20</v>
      </c>
      <c r="H134" s="3" t="s">
        <v>74</v>
      </c>
      <c r="I134" s="3" t="s">
        <v>75</v>
      </c>
      <c r="J134" s="5">
        <v>2</v>
      </c>
      <c r="K134" s="3">
        <v>299.99</v>
      </c>
      <c r="L134" s="7">
        <v>0.15</v>
      </c>
      <c r="M134" s="3" t="s">
        <v>80</v>
      </c>
      <c r="N134" s="3">
        <v>599.98</v>
      </c>
      <c r="O134" s="3">
        <v>90</v>
      </c>
      <c r="P134" s="3">
        <v>509.98</v>
      </c>
    </row>
    <row r="135" spans="1:16" x14ac:dyDescent="0.3">
      <c r="A135" s="3" t="s">
        <v>402</v>
      </c>
      <c r="B135" s="15">
        <v>45724</v>
      </c>
      <c r="C135" s="15" t="str">
        <f t="shared" si="2"/>
        <v>March</v>
      </c>
      <c r="D135" s="3" t="s">
        <v>403</v>
      </c>
      <c r="E135" s="3" t="s">
        <v>27</v>
      </c>
      <c r="F135" s="3" t="s">
        <v>123</v>
      </c>
      <c r="G135" s="3" t="s">
        <v>20</v>
      </c>
      <c r="H135" s="3" t="s">
        <v>21</v>
      </c>
      <c r="I135" s="3" t="s">
        <v>46</v>
      </c>
      <c r="J135" s="5">
        <v>6</v>
      </c>
      <c r="K135" s="3">
        <v>119.99</v>
      </c>
      <c r="L135" s="7">
        <v>0</v>
      </c>
      <c r="M135" s="3" t="s">
        <v>37</v>
      </c>
      <c r="N135" s="3">
        <v>719.94</v>
      </c>
      <c r="O135" s="3">
        <v>0</v>
      </c>
      <c r="P135" s="3">
        <v>719.94</v>
      </c>
    </row>
    <row r="136" spans="1:16" x14ac:dyDescent="0.3">
      <c r="A136" s="3" t="s">
        <v>404</v>
      </c>
      <c r="B136" s="15">
        <v>45805</v>
      </c>
      <c r="C136" s="15" t="str">
        <f t="shared" si="2"/>
        <v>May</v>
      </c>
      <c r="D136" s="3" t="s">
        <v>406</v>
      </c>
      <c r="E136" s="3" t="s">
        <v>18</v>
      </c>
      <c r="F136" s="3" t="s">
        <v>56</v>
      </c>
      <c r="G136" s="3" t="s">
        <v>34</v>
      </c>
      <c r="H136" s="3" t="s">
        <v>21</v>
      </c>
      <c r="I136" s="3" t="s">
        <v>46</v>
      </c>
      <c r="J136" s="5">
        <v>6</v>
      </c>
      <c r="K136" s="3">
        <v>119.99</v>
      </c>
      <c r="L136" s="7">
        <v>0</v>
      </c>
      <c r="M136" s="3" t="s">
        <v>37</v>
      </c>
      <c r="N136" s="3">
        <v>719.94</v>
      </c>
      <c r="O136" s="3">
        <v>0</v>
      </c>
      <c r="P136" s="3">
        <v>719.94</v>
      </c>
    </row>
    <row r="137" spans="1:16" x14ac:dyDescent="0.3">
      <c r="A137" s="3" t="s">
        <v>407</v>
      </c>
      <c r="B137" s="15">
        <v>45837</v>
      </c>
      <c r="C137" s="15" t="str">
        <f t="shared" si="2"/>
        <v>June</v>
      </c>
      <c r="D137" s="3" t="s">
        <v>409</v>
      </c>
      <c r="E137" s="3" t="s">
        <v>51</v>
      </c>
      <c r="F137" s="3" t="s">
        <v>52</v>
      </c>
      <c r="G137" s="3" t="s">
        <v>34</v>
      </c>
      <c r="H137" s="3" t="s">
        <v>21</v>
      </c>
      <c r="I137" s="3" t="s">
        <v>68</v>
      </c>
      <c r="J137" s="5">
        <v>2</v>
      </c>
      <c r="K137" s="3">
        <v>129.99</v>
      </c>
      <c r="L137" s="7">
        <v>0</v>
      </c>
      <c r="M137" s="3" t="s">
        <v>80</v>
      </c>
      <c r="N137" s="3">
        <v>259.98</v>
      </c>
      <c r="O137" s="3">
        <v>0</v>
      </c>
      <c r="P137" s="3">
        <v>259.98</v>
      </c>
    </row>
    <row r="138" spans="1:16" x14ac:dyDescent="0.3">
      <c r="A138" s="3" t="s">
        <v>410</v>
      </c>
      <c r="B138" s="15">
        <v>46013</v>
      </c>
      <c r="C138" s="15" t="str">
        <f t="shared" si="2"/>
        <v>December</v>
      </c>
      <c r="D138" s="3" t="s">
        <v>412</v>
      </c>
      <c r="E138" s="3" t="s">
        <v>72</v>
      </c>
      <c r="F138" s="3" t="s">
        <v>73</v>
      </c>
      <c r="G138" s="3" t="s">
        <v>20</v>
      </c>
      <c r="H138" s="3" t="s">
        <v>57</v>
      </c>
      <c r="I138" s="3" t="s">
        <v>58</v>
      </c>
      <c r="J138" s="5">
        <v>5</v>
      </c>
      <c r="K138" s="3">
        <v>89.99</v>
      </c>
      <c r="L138" s="7">
        <v>0.15</v>
      </c>
      <c r="M138" s="3" t="s">
        <v>47</v>
      </c>
      <c r="N138" s="3">
        <v>449.95</v>
      </c>
      <c r="O138" s="3">
        <v>67.489999999999995</v>
      </c>
      <c r="P138" s="3">
        <v>382.46</v>
      </c>
    </row>
    <row r="139" spans="1:16" x14ac:dyDescent="0.3">
      <c r="A139" s="3" t="s">
        <v>413</v>
      </c>
      <c r="B139" s="15">
        <v>45731</v>
      </c>
      <c r="C139" s="15" t="str">
        <f t="shared" si="2"/>
        <v>March</v>
      </c>
      <c r="D139" s="3" t="s">
        <v>415</v>
      </c>
      <c r="E139" s="3" t="s">
        <v>18</v>
      </c>
      <c r="F139" s="3" t="s">
        <v>56</v>
      </c>
      <c r="G139" s="3" t="s">
        <v>34</v>
      </c>
      <c r="H139" s="3" t="s">
        <v>57</v>
      </c>
      <c r="I139" s="3" t="s">
        <v>189</v>
      </c>
      <c r="J139" s="5">
        <v>1</v>
      </c>
      <c r="K139" s="3">
        <v>119.99</v>
      </c>
      <c r="L139" s="7">
        <v>0</v>
      </c>
      <c r="M139" s="3" t="s">
        <v>80</v>
      </c>
      <c r="N139" s="3">
        <v>119.99</v>
      </c>
      <c r="O139" s="3">
        <v>0</v>
      </c>
      <c r="P139" s="3">
        <v>119.99</v>
      </c>
    </row>
    <row r="140" spans="1:16" x14ac:dyDescent="0.3">
      <c r="A140" s="3" t="s">
        <v>416</v>
      </c>
      <c r="B140" s="15">
        <v>45850</v>
      </c>
      <c r="C140" s="15" t="str">
        <f t="shared" si="2"/>
        <v>July</v>
      </c>
      <c r="D140" s="3" t="s">
        <v>418</v>
      </c>
      <c r="E140" s="3" t="s">
        <v>27</v>
      </c>
      <c r="F140" s="3" t="s">
        <v>123</v>
      </c>
      <c r="G140" s="3" t="s">
        <v>34</v>
      </c>
      <c r="H140" s="3" t="s">
        <v>35</v>
      </c>
      <c r="I140" s="3" t="s">
        <v>199</v>
      </c>
      <c r="J140" s="5">
        <v>5</v>
      </c>
      <c r="K140" s="3">
        <v>99.99</v>
      </c>
      <c r="L140" s="7">
        <v>0</v>
      </c>
      <c r="M140" s="3" t="s">
        <v>37</v>
      </c>
      <c r="N140" s="3">
        <v>499.95</v>
      </c>
      <c r="O140" s="3">
        <v>0</v>
      </c>
      <c r="P140" s="3">
        <v>499.95</v>
      </c>
    </row>
    <row r="141" spans="1:16" x14ac:dyDescent="0.3">
      <c r="A141" s="3" t="s">
        <v>419</v>
      </c>
      <c r="B141" s="15">
        <v>45701</v>
      </c>
      <c r="C141" s="15" t="str">
        <f t="shared" si="2"/>
        <v>February</v>
      </c>
      <c r="D141" s="3" t="s">
        <v>420</v>
      </c>
      <c r="E141" s="3" t="s">
        <v>18</v>
      </c>
      <c r="F141" s="3" t="s">
        <v>56</v>
      </c>
      <c r="G141" s="3" t="s">
        <v>20</v>
      </c>
      <c r="H141" s="3" t="s">
        <v>35</v>
      </c>
      <c r="I141" s="3" t="s">
        <v>134</v>
      </c>
      <c r="J141" s="5">
        <v>5</v>
      </c>
      <c r="K141" s="3">
        <v>139.99</v>
      </c>
      <c r="L141" s="7">
        <v>0.1</v>
      </c>
      <c r="M141" s="3" t="s">
        <v>47</v>
      </c>
      <c r="N141" s="3">
        <v>699.95</v>
      </c>
      <c r="O141" s="3">
        <v>70</v>
      </c>
      <c r="P141" s="3">
        <v>629.95000000000005</v>
      </c>
    </row>
    <row r="142" spans="1:16" x14ac:dyDescent="0.3">
      <c r="A142" s="3" t="s">
        <v>421</v>
      </c>
      <c r="B142" s="15">
        <v>45875</v>
      </c>
      <c r="C142" s="15" t="str">
        <f t="shared" si="2"/>
        <v>August</v>
      </c>
      <c r="D142" s="3" t="s">
        <v>212</v>
      </c>
      <c r="E142" s="3" t="s">
        <v>27</v>
      </c>
      <c r="F142" s="3" t="s">
        <v>67</v>
      </c>
      <c r="G142" s="3" t="s">
        <v>34</v>
      </c>
      <c r="H142" s="3" t="s">
        <v>35</v>
      </c>
      <c r="I142" s="3" t="s">
        <v>199</v>
      </c>
      <c r="J142" s="5">
        <v>4</v>
      </c>
      <c r="K142" s="3">
        <v>99.99</v>
      </c>
      <c r="L142" s="7">
        <v>0.15</v>
      </c>
      <c r="M142" s="3" t="s">
        <v>23</v>
      </c>
      <c r="N142" s="3">
        <v>399.96</v>
      </c>
      <c r="O142" s="3">
        <v>59.99</v>
      </c>
      <c r="P142" s="3">
        <v>339.97</v>
      </c>
    </row>
    <row r="143" spans="1:16" x14ac:dyDescent="0.3">
      <c r="A143" s="3" t="s">
        <v>423</v>
      </c>
      <c r="B143" s="15">
        <v>45714</v>
      </c>
      <c r="C143" s="15" t="str">
        <f t="shared" si="2"/>
        <v>February</v>
      </c>
      <c r="D143" s="3" t="s">
        <v>425</v>
      </c>
      <c r="E143" s="3" t="s">
        <v>32</v>
      </c>
      <c r="F143" s="3" t="s">
        <v>45</v>
      </c>
      <c r="G143" s="3" t="s">
        <v>34</v>
      </c>
      <c r="H143" s="3" t="s">
        <v>57</v>
      </c>
      <c r="I143" s="3" t="s">
        <v>58</v>
      </c>
      <c r="J143" s="5">
        <v>3</v>
      </c>
      <c r="K143" s="3">
        <v>89.99</v>
      </c>
      <c r="L143" s="7">
        <v>0.05</v>
      </c>
      <c r="M143" s="3" t="s">
        <v>37</v>
      </c>
      <c r="N143" s="3">
        <v>269.97000000000003</v>
      </c>
      <c r="O143" s="3">
        <v>13.5</v>
      </c>
      <c r="P143" s="3">
        <v>256.47000000000003</v>
      </c>
    </row>
    <row r="144" spans="1:16" x14ac:dyDescent="0.3">
      <c r="A144" s="3" t="s">
        <v>426</v>
      </c>
      <c r="B144" s="15">
        <v>45812</v>
      </c>
      <c r="C144" s="15" t="str">
        <f t="shared" si="2"/>
        <v>June</v>
      </c>
      <c r="D144" s="3" t="s">
        <v>372</v>
      </c>
      <c r="E144" s="3" t="s">
        <v>72</v>
      </c>
      <c r="F144" s="3" t="s">
        <v>73</v>
      </c>
      <c r="G144" s="3" t="s">
        <v>20</v>
      </c>
      <c r="H144" s="3" t="s">
        <v>21</v>
      </c>
      <c r="I144" s="3" t="s">
        <v>68</v>
      </c>
      <c r="J144" s="5">
        <v>1</v>
      </c>
      <c r="K144" s="3">
        <v>129.99</v>
      </c>
      <c r="L144" s="7">
        <v>0</v>
      </c>
      <c r="M144" s="3" t="s">
        <v>47</v>
      </c>
      <c r="N144" s="3">
        <v>129.99</v>
      </c>
      <c r="O144" s="3">
        <v>0</v>
      </c>
      <c r="P144" s="3">
        <v>129.99</v>
      </c>
    </row>
    <row r="145" spans="1:16" x14ac:dyDescent="0.3">
      <c r="A145" s="3" t="s">
        <v>427</v>
      </c>
      <c r="B145" s="15">
        <v>45878</v>
      </c>
      <c r="C145" s="15" t="str">
        <f t="shared" si="2"/>
        <v>August</v>
      </c>
      <c r="D145" s="3" t="s">
        <v>429</v>
      </c>
      <c r="E145" s="3" t="s">
        <v>18</v>
      </c>
      <c r="F145" s="3" t="s">
        <v>19</v>
      </c>
      <c r="G145" s="3" t="s">
        <v>20</v>
      </c>
      <c r="H145" s="3" t="s">
        <v>57</v>
      </c>
      <c r="I145" s="3" t="s">
        <v>189</v>
      </c>
      <c r="J145" s="5">
        <v>1</v>
      </c>
      <c r="K145" s="3">
        <v>119.99</v>
      </c>
      <c r="L145" s="7">
        <v>0.05</v>
      </c>
      <c r="M145" s="3" t="s">
        <v>23</v>
      </c>
      <c r="N145" s="3">
        <v>119.99</v>
      </c>
      <c r="O145" s="3">
        <v>6</v>
      </c>
      <c r="P145" s="3">
        <v>113.99</v>
      </c>
    </row>
    <row r="146" spans="1:16" x14ac:dyDescent="0.3">
      <c r="A146" s="3" t="s">
        <v>430</v>
      </c>
      <c r="B146" s="15">
        <v>45679</v>
      </c>
      <c r="C146" s="15" t="str">
        <f t="shared" si="2"/>
        <v>January</v>
      </c>
      <c r="D146" s="3" t="s">
        <v>432</v>
      </c>
      <c r="E146" s="3" t="s">
        <v>32</v>
      </c>
      <c r="F146" s="3" t="s">
        <v>33</v>
      </c>
      <c r="G146" s="3" t="s">
        <v>20</v>
      </c>
      <c r="H146" s="3" t="s">
        <v>62</v>
      </c>
      <c r="I146" s="3" t="s">
        <v>63</v>
      </c>
      <c r="J146" s="5">
        <v>1</v>
      </c>
      <c r="K146" s="3">
        <v>199.99</v>
      </c>
      <c r="L146" s="7">
        <v>0.05</v>
      </c>
      <c r="M146" s="3" t="s">
        <v>23</v>
      </c>
      <c r="N146" s="3">
        <v>199.99</v>
      </c>
      <c r="O146" s="3">
        <v>10</v>
      </c>
      <c r="P146" s="3">
        <v>189.99</v>
      </c>
    </row>
    <row r="147" spans="1:16" x14ac:dyDescent="0.3">
      <c r="A147" s="3" t="s">
        <v>433</v>
      </c>
      <c r="B147" s="15">
        <v>46021</v>
      </c>
      <c r="C147" s="15" t="str">
        <f t="shared" si="2"/>
        <v>December</v>
      </c>
      <c r="D147" s="3" t="s">
        <v>435</v>
      </c>
      <c r="E147" s="3" t="s">
        <v>32</v>
      </c>
      <c r="F147" s="3" t="s">
        <v>33</v>
      </c>
      <c r="G147" s="3" t="s">
        <v>34</v>
      </c>
      <c r="H147" s="3" t="s">
        <v>21</v>
      </c>
      <c r="I147" s="3" t="s">
        <v>87</v>
      </c>
      <c r="J147" s="5">
        <v>5</v>
      </c>
      <c r="K147" s="3">
        <v>149.99</v>
      </c>
      <c r="L147" s="7">
        <v>0.05</v>
      </c>
      <c r="M147" s="3" t="s">
        <v>37</v>
      </c>
      <c r="N147" s="3">
        <v>749.95</v>
      </c>
      <c r="O147" s="3">
        <v>37.5</v>
      </c>
      <c r="P147" s="3">
        <v>712.45</v>
      </c>
    </row>
    <row r="148" spans="1:16" x14ac:dyDescent="0.3">
      <c r="A148" s="3" t="s">
        <v>436</v>
      </c>
      <c r="B148" s="15">
        <v>45893</v>
      </c>
      <c r="C148" s="15" t="str">
        <f t="shared" si="2"/>
        <v>August</v>
      </c>
      <c r="D148" s="3" t="s">
        <v>438</v>
      </c>
      <c r="E148" s="3" t="s">
        <v>27</v>
      </c>
      <c r="F148" s="3" t="s">
        <v>67</v>
      </c>
      <c r="G148" s="3" t="s">
        <v>34</v>
      </c>
      <c r="H148" s="3" t="s">
        <v>21</v>
      </c>
      <c r="I148" s="3" t="s">
        <v>46</v>
      </c>
      <c r="J148" s="5">
        <v>2</v>
      </c>
      <c r="K148" s="3">
        <v>119.99</v>
      </c>
      <c r="L148" s="7">
        <v>0.1</v>
      </c>
      <c r="M148" s="3" t="s">
        <v>80</v>
      </c>
      <c r="N148" s="3">
        <v>239.98</v>
      </c>
      <c r="O148" s="3">
        <v>24</v>
      </c>
      <c r="P148" s="3">
        <v>215.98</v>
      </c>
    </row>
    <row r="149" spans="1:16" x14ac:dyDescent="0.3">
      <c r="A149" s="3" t="s">
        <v>439</v>
      </c>
      <c r="B149" s="15">
        <v>45926</v>
      </c>
      <c r="C149" s="15" t="str">
        <f t="shared" si="2"/>
        <v>September</v>
      </c>
      <c r="D149" s="3" t="s">
        <v>441</v>
      </c>
      <c r="E149" s="3" t="s">
        <v>51</v>
      </c>
      <c r="F149" s="3" t="s">
        <v>52</v>
      </c>
      <c r="G149" s="3" t="s">
        <v>34</v>
      </c>
      <c r="H149" s="3" t="s">
        <v>74</v>
      </c>
      <c r="I149" s="3" t="s">
        <v>112</v>
      </c>
      <c r="J149" s="5">
        <v>5</v>
      </c>
      <c r="K149" s="3">
        <v>129.99</v>
      </c>
      <c r="L149" s="7">
        <v>0.05</v>
      </c>
      <c r="M149" s="3" t="s">
        <v>37</v>
      </c>
      <c r="N149" s="3">
        <v>649.95000000000005</v>
      </c>
      <c r="O149" s="3">
        <v>32.5</v>
      </c>
      <c r="P149" s="3">
        <v>617.45000000000005</v>
      </c>
    </row>
    <row r="150" spans="1:16" x14ac:dyDescent="0.3">
      <c r="A150" s="3" t="s">
        <v>442</v>
      </c>
      <c r="B150" s="15">
        <v>45982</v>
      </c>
      <c r="C150" s="15" t="str">
        <f t="shared" si="2"/>
        <v>November</v>
      </c>
      <c r="D150" s="3" t="s">
        <v>369</v>
      </c>
      <c r="E150" s="3" t="s">
        <v>18</v>
      </c>
      <c r="F150" s="3" t="s">
        <v>19</v>
      </c>
      <c r="G150" s="3" t="s">
        <v>20</v>
      </c>
      <c r="H150" s="3" t="s">
        <v>57</v>
      </c>
      <c r="I150" s="3" t="s">
        <v>58</v>
      </c>
      <c r="J150" s="5">
        <v>1</v>
      </c>
      <c r="K150" s="3">
        <v>89.99</v>
      </c>
      <c r="L150" s="7">
        <v>0.1</v>
      </c>
      <c r="M150" s="3" t="s">
        <v>37</v>
      </c>
      <c r="N150" s="3">
        <v>89.99</v>
      </c>
      <c r="O150" s="3">
        <v>9</v>
      </c>
      <c r="P150" s="3">
        <v>80.989999999999995</v>
      </c>
    </row>
    <row r="151" spans="1:16" x14ac:dyDescent="0.3">
      <c r="A151" s="3" t="s">
        <v>444</v>
      </c>
      <c r="B151" s="15">
        <v>45759</v>
      </c>
      <c r="C151" s="15" t="str">
        <f t="shared" si="2"/>
        <v>April</v>
      </c>
      <c r="D151" s="3" t="s">
        <v>429</v>
      </c>
      <c r="E151" s="3" t="s">
        <v>51</v>
      </c>
      <c r="F151" s="3" t="s">
        <v>108</v>
      </c>
      <c r="G151" s="3" t="s">
        <v>20</v>
      </c>
      <c r="H151" s="3" t="s">
        <v>57</v>
      </c>
      <c r="I151" s="3" t="s">
        <v>58</v>
      </c>
      <c r="J151" s="5">
        <v>2</v>
      </c>
      <c r="K151" s="3">
        <v>89.99</v>
      </c>
      <c r="L151" s="7">
        <v>0</v>
      </c>
      <c r="M151" s="3" t="s">
        <v>80</v>
      </c>
      <c r="N151" s="3">
        <v>179.98</v>
      </c>
      <c r="O151" s="3">
        <v>0</v>
      </c>
      <c r="P151" s="3">
        <v>179.98</v>
      </c>
    </row>
    <row r="152" spans="1:16" x14ac:dyDescent="0.3">
      <c r="A152" s="3" t="s">
        <v>446</v>
      </c>
      <c r="B152" s="15">
        <v>45987</v>
      </c>
      <c r="C152" s="15" t="str">
        <f t="shared" si="2"/>
        <v>November</v>
      </c>
      <c r="D152" s="3" t="s">
        <v>157</v>
      </c>
      <c r="E152" s="3" t="s">
        <v>72</v>
      </c>
      <c r="F152" s="3" t="s">
        <v>152</v>
      </c>
      <c r="G152" s="3" t="s">
        <v>34</v>
      </c>
      <c r="H152" s="3" t="s">
        <v>35</v>
      </c>
      <c r="I152" s="3" t="s">
        <v>36</v>
      </c>
      <c r="J152" s="5">
        <v>6</v>
      </c>
      <c r="K152" s="3">
        <v>79.989999999999995</v>
      </c>
      <c r="L152" s="7">
        <v>0.1</v>
      </c>
      <c r="M152" s="3" t="s">
        <v>37</v>
      </c>
      <c r="N152" s="3">
        <v>479.94</v>
      </c>
      <c r="O152" s="3">
        <v>47.99</v>
      </c>
      <c r="P152" s="3">
        <v>431.95</v>
      </c>
    </row>
    <row r="153" spans="1:16" x14ac:dyDescent="0.3">
      <c r="A153" s="3" t="s">
        <v>448</v>
      </c>
      <c r="B153" s="15">
        <v>45813</v>
      </c>
      <c r="C153" s="15" t="str">
        <f t="shared" si="2"/>
        <v>June</v>
      </c>
      <c r="D153" s="3" t="s">
        <v>450</v>
      </c>
      <c r="E153" s="3" t="s">
        <v>27</v>
      </c>
      <c r="F153" s="3" t="s">
        <v>67</v>
      </c>
      <c r="G153" s="3" t="s">
        <v>34</v>
      </c>
      <c r="H153" s="3" t="s">
        <v>35</v>
      </c>
      <c r="I153" s="3" t="s">
        <v>36</v>
      </c>
      <c r="J153" s="5">
        <v>4</v>
      </c>
      <c r="K153" s="3">
        <v>79.989999999999995</v>
      </c>
      <c r="L153" s="7">
        <v>0.15</v>
      </c>
      <c r="M153" s="3" t="s">
        <v>80</v>
      </c>
      <c r="N153" s="3">
        <v>319.95999999999998</v>
      </c>
      <c r="O153" s="3">
        <v>47.99</v>
      </c>
      <c r="P153" s="3">
        <v>271.97000000000003</v>
      </c>
    </row>
    <row r="154" spans="1:16" x14ac:dyDescent="0.3">
      <c r="A154" s="3" t="s">
        <v>451</v>
      </c>
      <c r="B154" s="15">
        <v>45687</v>
      </c>
      <c r="C154" s="15" t="str">
        <f t="shared" si="2"/>
        <v>January</v>
      </c>
      <c r="D154" s="3" t="s">
        <v>453</v>
      </c>
      <c r="E154" s="3" t="s">
        <v>18</v>
      </c>
      <c r="F154" s="3" t="s">
        <v>56</v>
      </c>
      <c r="G154" s="3" t="s">
        <v>34</v>
      </c>
      <c r="H154" s="3" t="s">
        <v>57</v>
      </c>
      <c r="I154" s="3" t="s">
        <v>300</v>
      </c>
      <c r="J154" s="5">
        <v>4</v>
      </c>
      <c r="K154" s="3">
        <v>179.99</v>
      </c>
      <c r="L154" s="7">
        <v>0</v>
      </c>
      <c r="M154" s="3" t="s">
        <v>80</v>
      </c>
      <c r="N154" s="3">
        <v>719.96</v>
      </c>
      <c r="O154" s="3">
        <v>0</v>
      </c>
      <c r="P154" s="3">
        <v>719.96</v>
      </c>
    </row>
    <row r="155" spans="1:16" x14ac:dyDescent="0.3">
      <c r="A155" s="3" t="s">
        <v>454</v>
      </c>
      <c r="B155" s="15">
        <v>45991</v>
      </c>
      <c r="C155" s="15" t="str">
        <f t="shared" si="2"/>
        <v>November</v>
      </c>
      <c r="D155" s="3" t="s">
        <v>456</v>
      </c>
      <c r="E155" s="3" t="s">
        <v>72</v>
      </c>
      <c r="F155" s="3" t="s">
        <v>73</v>
      </c>
      <c r="G155" s="3" t="s">
        <v>34</v>
      </c>
      <c r="H155" s="3" t="s">
        <v>21</v>
      </c>
      <c r="I155" s="3" t="s">
        <v>46</v>
      </c>
      <c r="J155" s="5">
        <v>4</v>
      </c>
      <c r="K155" s="3">
        <v>119.99</v>
      </c>
      <c r="L155" s="7">
        <v>0.1</v>
      </c>
      <c r="M155" s="3" t="s">
        <v>23</v>
      </c>
      <c r="N155" s="3">
        <v>479.96</v>
      </c>
      <c r="O155" s="3">
        <v>48</v>
      </c>
      <c r="P155" s="3">
        <v>431.96</v>
      </c>
    </row>
    <row r="156" spans="1:16" x14ac:dyDescent="0.3">
      <c r="A156" s="3" t="s">
        <v>457</v>
      </c>
      <c r="B156" s="15">
        <v>45701</v>
      </c>
      <c r="C156" s="15" t="str">
        <f t="shared" si="2"/>
        <v>February</v>
      </c>
      <c r="D156" s="3" t="s">
        <v>89</v>
      </c>
      <c r="E156" s="3" t="s">
        <v>27</v>
      </c>
      <c r="F156" s="3" t="s">
        <v>67</v>
      </c>
      <c r="G156" s="3" t="s">
        <v>20</v>
      </c>
      <c r="H156" s="3" t="s">
        <v>62</v>
      </c>
      <c r="I156" s="3" t="s">
        <v>63</v>
      </c>
      <c r="J156" s="5">
        <v>1</v>
      </c>
      <c r="K156" s="3">
        <v>199.99</v>
      </c>
      <c r="L156" s="7">
        <v>0</v>
      </c>
      <c r="M156" s="3" t="s">
        <v>80</v>
      </c>
      <c r="N156" s="3">
        <v>199.99</v>
      </c>
      <c r="O156" s="3">
        <v>0</v>
      </c>
      <c r="P156" s="3">
        <v>199.99</v>
      </c>
    </row>
    <row r="157" spans="1:16" x14ac:dyDescent="0.3">
      <c r="A157" s="3" t="s">
        <v>458</v>
      </c>
      <c r="B157" s="15">
        <v>45802</v>
      </c>
      <c r="C157" s="15" t="str">
        <f t="shared" si="2"/>
        <v>May</v>
      </c>
      <c r="D157" s="3" t="s">
        <v>460</v>
      </c>
      <c r="E157" s="3" t="s">
        <v>72</v>
      </c>
      <c r="F157" s="3" t="s">
        <v>73</v>
      </c>
      <c r="G157" s="3" t="s">
        <v>34</v>
      </c>
      <c r="H157" s="3" t="s">
        <v>35</v>
      </c>
      <c r="I157" s="3" t="s">
        <v>36</v>
      </c>
      <c r="J157" s="5">
        <v>3</v>
      </c>
      <c r="K157" s="3">
        <v>79.989999999999995</v>
      </c>
      <c r="L157" s="7">
        <v>0</v>
      </c>
      <c r="M157" s="3" t="s">
        <v>37</v>
      </c>
      <c r="N157" s="3">
        <v>239.97</v>
      </c>
      <c r="O157" s="3">
        <v>0</v>
      </c>
      <c r="P157" s="3">
        <v>239.97</v>
      </c>
    </row>
    <row r="158" spans="1:16" x14ac:dyDescent="0.3">
      <c r="A158" s="3" t="s">
        <v>461</v>
      </c>
      <c r="B158" s="15">
        <v>45943</v>
      </c>
      <c r="C158" s="15" t="str">
        <f t="shared" si="2"/>
        <v>October</v>
      </c>
      <c r="D158" s="3" t="s">
        <v>17</v>
      </c>
      <c r="E158" s="3" t="s">
        <v>18</v>
      </c>
      <c r="F158" s="3" t="s">
        <v>19</v>
      </c>
      <c r="G158" s="3" t="s">
        <v>34</v>
      </c>
      <c r="H158" s="3" t="s">
        <v>62</v>
      </c>
      <c r="I158" s="3" t="s">
        <v>124</v>
      </c>
      <c r="J158" s="5">
        <v>3</v>
      </c>
      <c r="K158" s="3">
        <v>399.99</v>
      </c>
      <c r="L158" s="7">
        <v>0</v>
      </c>
      <c r="M158" s="3" t="s">
        <v>37</v>
      </c>
      <c r="N158" s="3">
        <v>1199.97</v>
      </c>
      <c r="O158" s="3">
        <v>0</v>
      </c>
      <c r="P158" s="3">
        <v>1199.97</v>
      </c>
    </row>
    <row r="159" spans="1:16" x14ac:dyDescent="0.3">
      <c r="A159" s="3" t="s">
        <v>463</v>
      </c>
      <c r="B159" s="15">
        <v>45730</v>
      </c>
      <c r="C159" s="15" t="str">
        <f t="shared" si="2"/>
        <v>March</v>
      </c>
      <c r="D159" s="3" t="s">
        <v>206</v>
      </c>
      <c r="E159" s="3" t="s">
        <v>18</v>
      </c>
      <c r="F159" s="3" t="s">
        <v>19</v>
      </c>
      <c r="G159" s="3" t="s">
        <v>34</v>
      </c>
      <c r="H159" s="3" t="s">
        <v>57</v>
      </c>
      <c r="I159" s="3" t="s">
        <v>58</v>
      </c>
      <c r="J159" s="5">
        <v>5</v>
      </c>
      <c r="K159" s="3">
        <v>89.99</v>
      </c>
      <c r="L159" s="7">
        <v>0.15</v>
      </c>
      <c r="M159" s="3" t="s">
        <v>37</v>
      </c>
      <c r="N159" s="3">
        <v>449.95</v>
      </c>
      <c r="O159" s="3">
        <v>67.489999999999995</v>
      </c>
      <c r="P159" s="3">
        <v>382.46</v>
      </c>
    </row>
    <row r="160" spans="1:16" x14ac:dyDescent="0.3">
      <c r="A160" s="3" t="s">
        <v>465</v>
      </c>
      <c r="B160" s="15">
        <v>45850</v>
      </c>
      <c r="C160" s="15" t="str">
        <f t="shared" si="2"/>
        <v>July</v>
      </c>
      <c r="D160" s="3" t="s">
        <v>466</v>
      </c>
      <c r="E160" s="3" t="s">
        <v>32</v>
      </c>
      <c r="F160" s="3" t="s">
        <v>45</v>
      </c>
      <c r="G160" s="3" t="s">
        <v>34</v>
      </c>
      <c r="H160" s="3" t="s">
        <v>74</v>
      </c>
      <c r="I160" s="3" t="s">
        <v>112</v>
      </c>
      <c r="J160" s="5">
        <v>3</v>
      </c>
      <c r="K160" s="3">
        <v>129.99</v>
      </c>
      <c r="L160" s="7">
        <v>0.1</v>
      </c>
      <c r="M160" s="3" t="s">
        <v>47</v>
      </c>
      <c r="N160" s="3">
        <v>389.97</v>
      </c>
      <c r="O160" s="3">
        <v>39</v>
      </c>
      <c r="P160" s="3">
        <v>350.97</v>
      </c>
    </row>
    <row r="161" spans="1:16" x14ac:dyDescent="0.3">
      <c r="A161" s="3" t="s">
        <v>467</v>
      </c>
      <c r="B161" s="15">
        <v>45816</v>
      </c>
      <c r="C161" s="15" t="str">
        <f t="shared" si="2"/>
        <v>June</v>
      </c>
      <c r="D161" s="3" t="s">
        <v>469</v>
      </c>
      <c r="E161" s="3" t="s">
        <v>72</v>
      </c>
      <c r="F161" s="3" t="s">
        <v>152</v>
      </c>
      <c r="G161" s="3" t="s">
        <v>20</v>
      </c>
      <c r="H161" s="3" t="s">
        <v>62</v>
      </c>
      <c r="I161" s="3" t="s">
        <v>124</v>
      </c>
      <c r="J161" s="5">
        <v>1</v>
      </c>
      <c r="K161" s="3">
        <v>399.99</v>
      </c>
      <c r="L161" s="7">
        <v>0</v>
      </c>
      <c r="M161" s="3" t="s">
        <v>37</v>
      </c>
      <c r="N161" s="3">
        <v>399.99</v>
      </c>
      <c r="O161" s="3">
        <v>0</v>
      </c>
      <c r="P161" s="3">
        <v>399.99</v>
      </c>
    </row>
    <row r="162" spans="1:16" x14ac:dyDescent="0.3">
      <c r="A162" s="3" t="s">
        <v>470</v>
      </c>
      <c r="B162" s="15">
        <v>45809</v>
      </c>
      <c r="C162" s="15" t="str">
        <f t="shared" si="2"/>
        <v>June</v>
      </c>
      <c r="D162" s="3" t="s">
        <v>409</v>
      </c>
      <c r="E162" s="3" t="s">
        <v>51</v>
      </c>
      <c r="F162" s="3" t="s">
        <v>108</v>
      </c>
      <c r="G162" s="3" t="s">
        <v>20</v>
      </c>
      <c r="H162" s="3" t="s">
        <v>74</v>
      </c>
      <c r="I162" s="3" t="s">
        <v>112</v>
      </c>
      <c r="J162" s="5">
        <v>2</v>
      </c>
      <c r="K162" s="3">
        <v>129.99</v>
      </c>
      <c r="L162" s="7">
        <v>0</v>
      </c>
      <c r="M162" s="3" t="s">
        <v>80</v>
      </c>
      <c r="N162" s="3">
        <v>259.98</v>
      </c>
      <c r="O162" s="3">
        <v>0</v>
      </c>
      <c r="P162" s="3">
        <v>259.98</v>
      </c>
    </row>
    <row r="163" spans="1:16" x14ac:dyDescent="0.3">
      <c r="A163" s="3" t="s">
        <v>471</v>
      </c>
      <c r="B163" s="15">
        <v>45750</v>
      </c>
      <c r="C163" s="15" t="str">
        <f t="shared" si="2"/>
        <v>April</v>
      </c>
      <c r="D163" s="3" t="s">
        <v>438</v>
      </c>
      <c r="E163" s="3" t="s">
        <v>32</v>
      </c>
      <c r="F163" s="3" t="s">
        <v>33</v>
      </c>
      <c r="G163" s="3" t="s">
        <v>20</v>
      </c>
      <c r="H163" s="3" t="s">
        <v>57</v>
      </c>
      <c r="I163" s="3" t="s">
        <v>58</v>
      </c>
      <c r="J163" s="5">
        <v>2</v>
      </c>
      <c r="K163" s="3">
        <v>89.99</v>
      </c>
      <c r="L163" s="7">
        <v>0</v>
      </c>
      <c r="M163" s="3" t="s">
        <v>23</v>
      </c>
      <c r="N163" s="3">
        <v>179.98</v>
      </c>
      <c r="O163" s="3">
        <v>0</v>
      </c>
      <c r="P163" s="3">
        <v>179.98</v>
      </c>
    </row>
    <row r="164" spans="1:16" x14ac:dyDescent="0.3">
      <c r="A164" s="3" t="s">
        <v>473</v>
      </c>
      <c r="B164" s="15">
        <v>45803</v>
      </c>
      <c r="C164" s="15" t="str">
        <f t="shared" si="2"/>
        <v>May</v>
      </c>
      <c r="D164" s="3" t="s">
        <v>475</v>
      </c>
      <c r="E164" s="3" t="s">
        <v>18</v>
      </c>
      <c r="F164" s="3" t="s">
        <v>19</v>
      </c>
      <c r="G164" s="3" t="s">
        <v>34</v>
      </c>
      <c r="H164" s="3" t="s">
        <v>21</v>
      </c>
      <c r="I164" s="3" t="s">
        <v>46</v>
      </c>
      <c r="J164" s="5">
        <v>4</v>
      </c>
      <c r="K164" s="3">
        <v>119.99</v>
      </c>
      <c r="L164" s="7">
        <v>0.1</v>
      </c>
      <c r="M164" s="3" t="s">
        <v>47</v>
      </c>
      <c r="N164" s="3">
        <v>479.96</v>
      </c>
      <c r="O164" s="3">
        <v>48</v>
      </c>
      <c r="P164" s="3">
        <v>431.96</v>
      </c>
    </row>
    <row r="165" spans="1:16" x14ac:dyDescent="0.3">
      <c r="A165" s="3" t="s">
        <v>476</v>
      </c>
      <c r="B165" s="15">
        <v>46005</v>
      </c>
      <c r="C165" s="15" t="str">
        <f t="shared" si="2"/>
        <v>December</v>
      </c>
      <c r="D165" s="3" t="s">
        <v>372</v>
      </c>
      <c r="E165" s="3" t="s">
        <v>18</v>
      </c>
      <c r="F165" s="3" t="s">
        <v>56</v>
      </c>
      <c r="G165" s="3" t="s">
        <v>34</v>
      </c>
      <c r="H165" s="3" t="s">
        <v>62</v>
      </c>
      <c r="I165" s="3" t="s">
        <v>63</v>
      </c>
      <c r="J165" s="5">
        <v>2</v>
      </c>
      <c r="K165" s="3">
        <v>199.99</v>
      </c>
      <c r="L165" s="7">
        <v>0</v>
      </c>
      <c r="M165" s="3" t="s">
        <v>23</v>
      </c>
      <c r="N165" s="3">
        <v>399.98</v>
      </c>
      <c r="O165" s="3">
        <v>0</v>
      </c>
      <c r="P165" s="3">
        <v>399.98</v>
      </c>
    </row>
    <row r="166" spans="1:16" x14ac:dyDescent="0.3">
      <c r="A166" s="3" t="s">
        <v>478</v>
      </c>
      <c r="B166" s="15">
        <v>45967</v>
      </c>
      <c r="C166" s="15" t="str">
        <f t="shared" si="2"/>
        <v>November</v>
      </c>
      <c r="D166" s="3" t="s">
        <v>480</v>
      </c>
      <c r="E166" s="3" t="s">
        <v>32</v>
      </c>
      <c r="F166" s="3" t="s">
        <v>33</v>
      </c>
      <c r="G166" s="3" t="s">
        <v>34</v>
      </c>
      <c r="H166" s="3" t="s">
        <v>57</v>
      </c>
      <c r="I166" s="3" t="s">
        <v>130</v>
      </c>
      <c r="J166" s="5">
        <v>2</v>
      </c>
      <c r="K166" s="3">
        <v>109.99</v>
      </c>
      <c r="L166" s="7">
        <v>0</v>
      </c>
      <c r="M166" s="3" t="s">
        <v>80</v>
      </c>
      <c r="N166" s="3">
        <v>219.98</v>
      </c>
      <c r="O166" s="3">
        <v>0</v>
      </c>
      <c r="P166" s="3">
        <v>219.98</v>
      </c>
    </row>
    <row r="167" spans="1:16" x14ac:dyDescent="0.3">
      <c r="A167" s="3" t="s">
        <v>481</v>
      </c>
      <c r="B167" s="15">
        <v>45721</v>
      </c>
      <c r="C167" s="15" t="str">
        <f t="shared" si="2"/>
        <v>March</v>
      </c>
      <c r="D167" s="3" t="s">
        <v>425</v>
      </c>
      <c r="E167" s="3" t="s">
        <v>32</v>
      </c>
      <c r="F167" s="3" t="s">
        <v>45</v>
      </c>
      <c r="G167" s="3" t="s">
        <v>20</v>
      </c>
      <c r="H167" s="3" t="s">
        <v>74</v>
      </c>
      <c r="I167" s="3" t="s">
        <v>75</v>
      </c>
      <c r="J167" s="5">
        <v>6</v>
      </c>
      <c r="K167" s="3">
        <v>299.99</v>
      </c>
      <c r="L167" s="7">
        <v>0.1</v>
      </c>
      <c r="M167" s="3" t="s">
        <v>47</v>
      </c>
      <c r="N167" s="3">
        <v>1799.94</v>
      </c>
      <c r="O167" s="3">
        <v>179.99</v>
      </c>
      <c r="P167" s="3">
        <v>1619.95</v>
      </c>
    </row>
    <row r="168" spans="1:16" x14ac:dyDescent="0.3">
      <c r="A168" s="3" t="s">
        <v>483</v>
      </c>
      <c r="B168" s="15">
        <v>45771</v>
      </c>
      <c r="C168" s="15" t="str">
        <f t="shared" si="2"/>
        <v>April</v>
      </c>
      <c r="D168" s="3" t="s">
        <v>485</v>
      </c>
      <c r="E168" s="3" t="s">
        <v>32</v>
      </c>
      <c r="F168" s="3" t="s">
        <v>45</v>
      </c>
      <c r="G168" s="3" t="s">
        <v>34</v>
      </c>
      <c r="H168" s="3" t="s">
        <v>57</v>
      </c>
      <c r="I168" s="3" t="s">
        <v>130</v>
      </c>
      <c r="J168" s="5">
        <v>4</v>
      </c>
      <c r="K168" s="3">
        <v>109.99</v>
      </c>
      <c r="L168" s="7">
        <v>0</v>
      </c>
      <c r="M168" s="3" t="s">
        <v>37</v>
      </c>
      <c r="N168" s="3">
        <v>439.96</v>
      </c>
      <c r="O168" s="3">
        <v>0</v>
      </c>
      <c r="P168" s="3">
        <v>439.96</v>
      </c>
    </row>
    <row r="169" spans="1:16" x14ac:dyDescent="0.3">
      <c r="A169" s="3" t="s">
        <v>486</v>
      </c>
      <c r="B169" s="15">
        <v>45778</v>
      </c>
      <c r="C169" s="15" t="str">
        <f t="shared" si="2"/>
        <v>May</v>
      </c>
      <c r="D169" s="3" t="s">
        <v>488</v>
      </c>
      <c r="E169" s="3" t="s">
        <v>27</v>
      </c>
      <c r="F169" s="3" t="s">
        <v>67</v>
      </c>
      <c r="G169" s="3" t="s">
        <v>20</v>
      </c>
      <c r="H169" s="3" t="s">
        <v>21</v>
      </c>
      <c r="I169" s="3" t="s">
        <v>46</v>
      </c>
      <c r="J169" s="5">
        <v>5</v>
      </c>
      <c r="K169" s="3">
        <v>119.99</v>
      </c>
      <c r="L169" s="7">
        <v>0</v>
      </c>
      <c r="M169" s="3" t="s">
        <v>37</v>
      </c>
      <c r="N169" s="3">
        <v>599.95000000000005</v>
      </c>
      <c r="O169" s="3">
        <v>0</v>
      </c>
      <c r="P169" s="3">
        <v>599.95000000000005</v>
      </c>
    </row>
    <row r="170" spans="1:16" x14ac:dyDescent="0.3">
      <c r="A170" s="3" t="s">
        <v>489</v>
      </c>
      <c r="B170" s="15">
        <v>45829</v>
      </c>
      <c r="C170" s="15" t="str">
        <f t="shared" si="2"/>
        <v>June</v>
      </c>
      <c r="D170" s="3" t="s">
        <v>491</v>
      </c>
      <c r="E170" s="3" t="s">
        <v>18</v>
      </c>
      <c r="F170" s="3" t="s">
        <v>19</v>
      </c>
      <c r="G170" s="3" t="s">
        <v>20</v>
      </c>
      <c r="H170" s="3" t="s">
        <v>35</v>
      </c>
      <c r="I170" s="3" t="s">
        <v>199</v>
      </c>
      <c r="J170" s="5">
        <v>6</v>
      </c>
      <c r="K170" s="3">
        <v>99.99</v>
      </c>
      <c r="L170" s="7">
        <v>0.15</v>
      </c>
      <c r="M170" s="3" t="s">
        <v>47</v>
      </c>
      <c r="N170" s="3">
        <v>599.94000000000005</v>
      </c>
      <c r="O170" s="3">
        <v>89.99</v>
      </c>
      <c r="P170" s="3">
        <v>509.95</v>
      </c>
    </row>
    <row r="171" spans="1:16" x14ac:dyDescent="0.3">
      <c r="A171" s="3" t="s">
        <v>492</v>
      </c>
      <c r="B171" s="15">
        <v>45887</v>
      </c>
      <c r="C171" s="15" t="str">
        <f t="shared" si="2"/>
        <v>August</v>
      </c>
      <c r="D171" s="3" t="s">
        <v>494</v>
      </c>
      <c r="E171" s="3" t="s">
        <v>72</v>
      </c>
      <c r="F171" s="3" t="s">
        <v>73</v>
      </c>
      <c r="G171" s="3" t="s">
        <v>20</v>
      </c>
      <c r="H171" s="3" t="s">
        <v>21</v>
      </c>
      <c r="I171" s="3" t="s">
        <v>87</v>
      </c>
      <c r="J171" s="5">
        <v>6</v>
      </c>
      <c r="K171" s="3">
        <v>149.99</v>
      </c>
      <c r="L171" s="7">
        <v>0.05</v>
      </c>
      <c r="M171" s="3" t="s">
        <v>80</v>
      </c>
      <c r="N171" s="3">
        <v>899.94</v>
      </c>
      <c r="O171" s="3">
        <v>45</v>
      </c>
      <c r="P171" s="3">
        <v>854.94</v>
      </c>
    </row>
    <row r="172" spans="1:16" x14ac:dyDescent="0.3">
      <c r="A172" s="3" t="s">
        <v>495</v>
      </c>
      <c r="B172" s="15">
        <v>45969</v>
      </c>
      <c r="C172" s="15" t="str">
        <f t="shared" si="2"/>
        <v>November</v>
      </c>
      <c r="D172" s="3" t="s">
        <v>98</v>
      </c>
      <c r="E172" s="3" t="s">
        <v>51</v>
      </c>
      <c r="F172" s="3" t="s">
        <v>108</v>
      </c>
      <c r="G172" s="3" t="s">
        <v>34</v>
      </c>
      <c r="H172" s="3" t="s">
        <v>21</v>
      </c>
      <c r="I172" s="3" t="s">
        <v>87</v>
      </c>
      <c r="J172" s="5">
        <v>5</v>
      </c>
      <c r="K172" s="3">
        <v>149.99</v>
      </c>
      <c r="L172" s="7">
        <v>0.15</v>
      </c>
      <c r="M172" s="3" t="s">
        <v>80</v>
      </c>
      <c r="N172" s="3">
        <v>749.95</v>
      </c>
      <c r="O172" s="3">
        <v>112.49</v>
      </c>
      <c r="P172" s="3">
        <v>637.46</v>
      </c>
    </row>
    <row r="173" spans="1:16" x14ac:dyDescent="0.3">
      <c r="A173" s="3" t="s">
        <v>497</v>
      </c>
      <c r="B173" s="15">
        <v>45872</v>
      </c>
      <c r="C173" s="15" t="str">
        <f t="shared" si="2"/>
        <v>August</v>
      </c>
      <c r="D173" s="3" t="s">
        <v>435</v>
      </c>
      <c r="E173" s="3" t="s">
        <v>18</v>
      </c>
      <c r="F173" s="3" t="s">
        <v>19</v>
      </c>
      <c r="G173" s="3" t="s">
        <v>34</v>
      </c>
      <c r="H173" s="3" t="s">
        <v>57</v>
      </c>
      <c r="I173" s="3" t="s">
        <v>58</v>
      </c>
      <c r="J173" s="5">
        <v>1</v>
      </c>
      <c r="K173" s="3">
        <v>89.99</v>
      </c>
      <c r="L173" s="7">
        <v>0</v>
      </c>
      <c r="M173" s="3" t="s">
        <v>80</v>
      </c>
      <c r="N173" s="3">
        <v>89.99</v>
      </c>
      <c r="O173" s="3">
        <v>0</v>
      </c>
      <c r="P173" s="3">
        <v>89.99</v>
      </c>
    </row>
    <row r="174" spans="1:16" x14ac:dyDescent="0.3">
      <c r="A174" s="3" t="s">
        <v>499</v>
      </c>
      <c r="B174" s="15">
        <v>45952</v>
      </c>
      <c r="C174" s="15" t="str">
        <f t="shared" si="2"/>
        <v>October</v>
      </c>
      <c r="D174" s="3" t="s">
        <v>258</v>
      </c>
      <c r="E174" s="3" t="s">
        <v>32</v>
      </c>
      <c r="F174" s="3" t="s">
        <v>45</v>
      </c>
      <c r="G174" s="3" t="s">
        <v>20</v>
      </c>
      <c r="H174" s="3" t="s">
        <v>21</v>
      </c>
      <c r="I174" s="3" t="s">
        <v>46</v>
      </c>
      <c r="J174" s="5">
        <v>6</v>
      </c>
      <c r="K174" s="3">
        <v>119.99</v>
      </c>
      <c r="L174" s="7">
        <v>0.1</v>
      </c>
      <c r="M174" s="3" t="s">
        <v>37</v>
      </c>
      <c r="N174" s="3">
        <v>719.94</v>
      </c>
      <c r="O174" s="3">
        <v>71.989999999999995</v>
      </c>
      <c r="P174" s="3">
        <v>647.95000000000005</v>
      </c>
    </row>
    <row r="175" spans="1:16" x14ac:dyDescent="0.3">
      <c r="A175" s="3" t="s">
        <v>501</v>
      </c>
      <c r="B175" s="15">
        <v>45871</v>
      </c>
      <c r="C175" s="15" t="str">
        <f t="shared" si="2"/>
        <v>August</v>
      </c>
      <c r="D175" s="3" t="s">
        <v>502</v>
      </c>
      <c r="E175" s="3" t="s">
        <v>32</v>
      </c>
      <c r="F175" s="3" t="s">
        <v>33</v>
      </c>
      <c r="G175" s="3" t="s">
        <v>20</v>
      </c>
      <c r="H175" s="3" t="s">
        <v>74</v>
      </c>
      <c r="I175" s="3" t="s">
        <v>112</v>
      </c>
      <c r="J175" s="5">
        <v>2</v>
      </c>
      <c r="K175" s="3">
        <v>129.99</v>
      </c>
      <c r="L175" s="7">
        <v>0.1</v>
      </c>
      <c r="M175" s="3" t="s">
        <v>37</v>
      </c>
      <c r="N175" s="3">
        <v>259.98</v>
      </c>
      <c r="O175" s="3">
        <v>26</v>
      </c>
      <c r="P175" s="3">
        <v>233.98</v>
      </c>
    </row>
    <row r="176" spans="1:16" x14ac:dyDescent="0.3">
      <c r="A176" s="3" t="s">
        <v>503</v>
      </c>
      <c r="B176" s="15">
        <v>45856</v>
      </c>
      <c r="C176" s="15" t="str">
        <f t="shared" si="2"/>
        <v>July</v>
      </c>
      <c r="D176" s="3" t="s">
        <v>505</v>
      </c>
      <c r="E176" s="3" t="s">
        <v>72</v>
      </c>
      <c r="F176" s="3" t="s">
        <v>152</v>
      </c>
      <c r="G176" s="3" t="s">
        <v>34</v>
      </c>
      <c r="H176" s="3" t="s">
        <v>21</v>
      </c>
      <c r="I176" s="3" t="s">
        <v>22</v>
      </c>
      <c r="J176" s="5">
        <v>1</v>
      </c>
      <c r="K176" s="3">
        <v>89.99</v>
      </c>
      <c r="L176" s="7">
        <v>0.15</v>
      </c>
      <c r="M176" s="3" t="s">
        <v>80</v>
      </c>
      <c r="N176" s="3">
        <v>89.99</v>
      </c>
      <c r="O176" s="3">
        <v>13.5</v>
      </c>
      <c r="P176" s="3">
        <v>76.489999999999995</v>
      </c>
    </row>
    <row r="177" spans="1:16" x14ac:dyDescent="0.3">
      <c r="A177" s="3" t="s">
        <v>506</v>
      </c>
      <c r="B177" s="15">
        <v>45979</v>
      </c>
      <c r="C177" s="15" t="str">
        <f t="shared" si="2"/>
        <v>November</v>
      </c>
      <c r="D177" s="3" t="s">
        <v>507</v>
      </c>
      <c r="E177" s="3" t="s">
        <v>18</v>
      </c>
      <c r="F177" s="3" t="s">
        <v>19</v>
      </c>
      <c r="G177" s="3" t="s">
        <v>34</v>
      </c>
      <c r="H177" s="3" t="s">
        <v>57</v>
      </c>
      <c r="I177" s="3" t="s">
        <v>300</v>
      </c>
      <c r="J177" s="5">
        <v>6</v>
      </c>
      <c r="K177" s="3">
        <v>179.99</v>
      </c>
      <c r="L177" s="7">
        <v>0.15</v>
      </c>
      <c r="M177" s="3" t="s">
        <v>47</v>
      </c>
      <c r="N177" s="3">
        <v>1079.94</v>
      </c>
      <c r="O177" s="3">
        <v>161.99</v>
      </c>
      <c r="P177" s="3">
        <v>917.95</v>
      </c>
    </row>
    <row r="178" spans="1:16" x14ac:dyDescent="0.3">
      <c r="A178" s="3" t="s">
        <v>508</v>
      </c>
      <c r="B178" s="15">
        <v>46008</v>
      </c>
      <c r="C178" s="15" t="str">
        <f t="shared" si="2"/>
        <v>December</v>
      </c>
      <c r="D178" s="3" t="s">
        <v>318</v>
      </c>
      <c r="E178" s="3" t="s">
        <v>32</v>
      </c>
      <c r="F178" s="3" t="s">
        <v>33</v>
      </c>
      <c r="G178" s="3" t="s">
        <v>34</v>
      </c>
      <c r="H178" s="3" t="s">
        <v>21</v>
      </c>
      <c r="I178" s="3" t="s">
        <v>87</v>
      </c>
      <c r="J178" s="5">
        <v>6</v>
      </c>
      <c r="K178" s="3">
        <v>149.99</v>
      </c>
      <c r="L178" s="7">
        <v>0</v>
      </c>
      <c r="M178" s="3" t="s">
        <v>47</v>
      </c>
      <c r="N178" s="3">
        <v>899.94</v>
      </c>
      <c r="O178" s="3">
        <v>0</v>
      </c>
      <c r="P178" s="3">
        <v>899.94</v>
      </c>
    </row>
    <row r="179" spans="1:16" x14ac:dyDescent="0.3">
      <c r="A179" s="3" t="s">
        <v>510</v>
      </c>
      <c r="B179" s="15">
        <v>45680</v>
      </c>
      <c r="C179" s="15" t="str">
        <f t="shared" si="2"/>
        <v>January</v>
      </c>
      <c r="D179" s="3" t="s">
        <v>491</v>
      </c>
      <c r="E179" s="3" t="s">
        <v>72</v>
      </c>
      <c r="F179" s="3" t="s">
        <v>73</v>
      </c>
      <c r="G179" s="3" t="s">
        <v>20</v>
      </c>
      <c r="H179" s="3" t="s">
        <v>35</v>
      </c>
      <c r="I179" s="3" t="s">
        <v>199</v>
      </c>
      <c r="J179" s="5">
        <v>3</v>
      </c>
      <c r="K179" s="3">
        <v>99.99</v>
      </c>
      <c r="L179" s="7">
        <v>0</v>
      </c>
      <c r="M179" s="3" t="s">
        <v>80</v>
      </c>
      <c r="N179" s="3">
        <v>299.97000000000003</v>
      </c>
      <c r="O179" s="3">
        <v>0</v>
      </c>
      <c r="P179" s="3">
        <v>299.97000000000003</v>
      </c>
    </row>
    <row r="180" spans="1:16" x14ac:dyDescent="0.3">
      <c r="A180" s="3" t="s">
        <v>512</v>
      </c>
      <c r="B180" s="15">
        <v>45787</v>
      </c>
      <c r="C180" s="15" t="str">
        <f t="shared" si="2"/>
        <v>May</v>
      </c>
      <c r="D180" s="3" t="s">
        <v>163</v>
      </c>
      <c r="E180" s="3" t="s">
        <v>32</v>
      </c>
      <c r="F180" s="3" t="s">
        <v>33</v>
      </c>
      <c r="G180" s="3" t="s">
        <v>20</v>
      </c>
      <c r="H180" s="3" t="s">
        <v>57</v>
      </c>
      <c r="I180" s="3" t="s">
        <v>189</v>
      </c>
      <c r="J180" s="5">
        <v>5</v>
      </c>
      <c r="K180" s="3">
        <v>119.99</v>
      </c>
      <c r="L180" s="7">
        <v>0.05</v>
      </c>
      <c r="M180" s="3" t="s">
        <v>37</v>
      </c>
      <c r="N180" s="3">
        <v>599.95000000000005</v>
      </c>
      <c r="O180" s="3">
        <v>30</v>
      </c>
      <c r="P180" s="3">
        <v>569.95000000000005</v>
      </c>
    </row>
    <row r="181" spans="1:16" x14ac:dyDescent="0.3">
      <c r="A181" s="3" t="s">
        <v>514</v>
      </c>
      <c r="B181" s="15">
        <v>45881</v>
      </c>
      <c r="C181" s="15" t="str">
        <f t="shared" si="2"/>
        <v>August</v>
      </c>
      <c r="D181" s="3" t="s">
        <v>516</v>
      </c>
      <c r="E181" s="3" t="s">
        <v>18</v>
      </c>
      <c r="F181" s="3" t="s">
        <v>56</v>
      </c>
      <c r="G181" s="3" t="s">
        <v>34</v>
      </c>
      <c r="H181" s="3" t="s">
        <v>57</v>
      </c>
      <c r="I181" s="3" t="s">
        <v>300</v>
      </c>
      <c r="J181" s="5">
        <v>1</v>
      </c>
      <c r="K181" s="3">
        <v>179.99</v>
      </c>
      <c r="L181" s="7">
        <v>0</v>
      </c>
      <c r="M181" s="3" t="s">
        <v>23</v>
      </c>
      <c r="N181" s="3">
        <v>179.99</v>
      </c>
      <c r="O181" s="3">
        <v>0</v>
      </c>
      <c r="P181" s="3">
        <v>179.99</v>
      </c>
    </row>
    <row r="182" spans="1:16" x14ac:dyDescent="0.3">
      <c r="A182" s="3" t="s">
        <v>517</v>
      </c>
      <c r="B182" s="15">
        <v>45846</v>
      </c>
      <c r="C182" s="15" t="str">
        <f t="shared" si="2"/>
        <v>July</v>
      </c>
      <c r="D182" s="3" t="s">
        <v>518</v>
      </c>
      <c r="E182" s="3" t="s">
        <v>51</v>
      </c>
      <c r="F182" s="3" t="s">
        <v>52</v>
      </c>
      <c r="G182" s="3" t="s">
        <v>34</v>
      </c>
      <c r="H182" s="3" t="s">
        <v>74</v>
      </c>
      <c r="I182" s="3" t="s">
        <v>75</v>
      </c>
      <c r="J182" s="5">
        <v>6</v>
      </c>
      <c r="K182" s="3">
        <v>299.99</v>
      </c>
      <c r="L182" s="7">
        <v>0.05</v>
      </c>
      <c r="M182" s="3" t="s">
        <v>80</v>
      </c>
      <c r="N182" s="3">
        <v>1799.94</v>
      </c>
      <c r="O182" s="3">
        <v>90</v>
      </c>
      <c r="P182" s="3">
        <v>1709.94</v>
      </c>
    </row>
    <row r="183" spans="1:16" x14ac:dyDescent="0.3">
      <c r="A183" s="3" t="s">
        <v>519</v>
      </c>
      <c r="B183" s="15">
        <v>45822</v>
      </c>
      <c r="C183" s="15" t="str">
        <f t="shared" si="2"/>
        <v>June</v>
      </c>
      <c r="D183" s="3" t="s">
        <v>507</v>
      </c>
      <c r="E183" s="3" t="s">
        <v>72</v>
      </c>
      <c r="F183" s="3" t="s">
        <v>73</v>
      </c>
      <c r="G183" s="3" t="s">
        <v>20</v>
      </c>
      <c r="H183" s="3" t="s">
        <v>74</v>
      </c>
      <c r="I183" s="3" t="s">
        <v>112</v>
      </c>
      <c r="J183" s="5">
        <v>5</v>
      </c>
      <c r="K183" s="3">
        <v>129.99</v>
      </c>
      <c r="L183" s="7">
        <v>0</v>
      </c>
      <c r="M183" s="3" t="s">
        <v>37</v>
      </c>
      <c r="N183" s="3">
        <v>649.95000000000005</v>
      </c>
      <c r="O183" s="3">
        <v>0</v>
      </c>
      <c r="P183" s="3">
        <v>649.95000000000005</v>
      </c>
    </row>
    <row r="184" spans="1:16" x14ac:dyDescent="0.3">
      <c r="A184" s="3" t="s">
        <v>521</v>
      </c>
      <c r="B184" s="15">
        <v>45885</v>
      </c>
      <c r="C184" s="15" t="str">
        <f t="shared" si="2"/>
        <v>August</v>
      </c>
      <c r="D184" s="3" t="s">
        <v>523</v>
      </c>
      <c r="E184" s="3" t="s">
        <v>72</v>
      </c>
      <c r="F184" s="3" t="s">
        <v>152</v>
      </c>
      <c r="G184" s="3" t="s">
        <v>34</v>
      </c>
      <c r="H184" s="3" t="s">
        <v>57</v>
      </c>
      <c r="I184" s="3" t="s">
        <v>189</v>
      </c>
      <c r="J184" s="5">
        <v>2</v>
      </c>
      <c r="K184" s="3">
        <v>119.99</v>
      </c>
      <c r="L184" s="7">
        <v>0.15</v>
      </c>
      <c r="M184" s="3" t="s">
        <v>80</v>
      </c>
      <c r="N184" s="3">
        <v>239.98</v>
      </c>
      <c r="O184" s="3">
        <v>36</v>
      </c>
      <c r="P184" s="3">
        <v>203.98</v>
      </c>
    </row>
    <row r="185" spans="1:16" x14ac:dyDescent="0.3">
      <c r="A185" s="3" t="s">
        <v>524</v>
      </c>
      <c r="B185" s="15">
        <v>45984</v>
      </c>
      <c r="C185" s="15" t="str">
        <f t="shared" si="2"/>
        <v>November</v>
      </c>
      <c r="D185" s="3" t="s">
        <v>192</v>
      </c>
      <c r="E185" s="3" t="s">
        <v>18</v>
      </c>
      <c r="F185" s="3" t="s">
        <v>19</v>
      </c>
      <c r="G185" s="3" t="s">
        <v>34</v>
      </c>
      <c r="H185" s="3" t="s">
        <v>57</v>
      </c>
      <c r="I185" s="3" t="s">
        <v>130</v>
      </c>
      <c r="J185" s="5">
        <v>1</v>
      </c>
      <c r="K185" s="3">
        <v>109.99</v>
      </c>
      <c r="L185" s="7">
        <v>0.15</v>
      </c>
      <c r="M185" s="3" t="s">
        <v>47</v>
      </c>
      <c r="N185" s="3">
        <v>109.99</v>
      </c>
      <c r="O185" s="3">
        <v>16.5</v>
      </c>
      <c r="P185" s="3">
        <v>93.49</v>
      </c>
    </row>
    <row r="186" spans="1:16" x14ac:dyDescent="0.3">
      <c r="A186" s="3" t="s">
        <v>525</v>
      </c>
      <c r="B186" s="15">
        <v>45692</v>
      </c>
      <c r="C186" s="15" t="str">
        <f t="shared" si="2"/>
        <v>February</v>
      </c>
      <c r="D186" s="3" t="s">
        <v>352</v>
      </c>
      <c r="E186" s="3" t="s">
        <v>32</v>
      </c>
      <c r="F186" s="3" t="s">
        <v>33</v>
      </c>
      <c r="G186" s="3" t="s">
        <v>34</v>
      </c>
      <c r="H186" s="3" t="s">
        <v>21</v>
      </c>
      <c r="I186" s="3" t="s">
        <v>68</v>
      </c>
      <c r="J186" s="5">
        <v>1</v>
      </c>
      <c r="K186" s="3">
        <v>129.99</v>
      </c>
      <c r="L186" s="7">
        <v>0</v>
      </c>
      <c r="M186" s="3" t="s">
        <v>37</v>
      </c>
      <c r="N186" s="3">
        <v>129.99</v>
      </c>
      <c r="O186" s="3">
        <v>0</v>
      </c>
      <c r="P186" s="3">
        <v>129.99</v>
      </c>
    </row>
    <row r="187" spans="1:16" x14ac:dyDescent="0.3">
      <c r="A187" s="3" t="s">
        <v>527</v>
      </c>
      <c r="B187" s="15">
        <v>45888</v>
      </c>
      <c r="C187" s="15" t="str">
        <f t="shared" si="2"/>
        <v>August</v>
      </c>
      <c r="D187" s="3" t="s">
        <v>372</v>
      </c>
      <c r="E187" s="3" t="s">
        <v>27</v>
      </c>
      <c r="F187" s="3" t="s">
        <v>123</v>
      </c>
      <c r="G187" s="3" t="s">
        <v>34</v>
      </c>
      <c r="H187" s="3" t="s">
        <v>74</v>
      </c>
      <c r="I187" s="3" t="s">
        <v>143</v>
      </c>
      <c r="J187" s="5">
        <v>2</v>
      </c>
      <c r="K187" s="3">
        <v>99.99</v>
      </c>
      <c r="L187" s="7">
        <v>0.15</v>
      </c>
      <c r="M187" s="3" t="s">
        <v>37</v>
      </c>
      <c r="N187" s="3">
        <v>199.98</v>
      </c>
      <c r="O187" s="3">
        <v>30</v>
      </c>
      <c r="P187" s="3">
        <v>169.98</v>
      </c>
    </row>
    <row r="188" spans="1:16" x14ac:dyDescent="0.3">
      <c r="A188" s="3" t="s">
        <v>529</v>
      </c>
      <c r="B188" s="15">
        <v>45861</v>
      </c>
      <c r="C188" s="15" t="str">
        <f t="shared" si="2"/>
        <v>July</v>
      </c>
      <c r="D188" s="3" t="s">
        <v>531</v>
      </c>
      <c r="E188" s="3" t="s">
        <v>32</v>
      </c>
      <c r="F188" s="3" t="s">
        <v>45</v>
      </c>
      <c r="G188" s="3" t="s">
        <v>34</v>
      </c>
      <c r="H188" s="3" t="s">
        <v>74</v>
      </c>
      <c r="I188" s="3" t="s">
        <v>112</v>
      </c>
      <c r="J188" s="5">
        <v>5</v>
      </c>
      <c r="K188" s="3">
        <v>129.99</v>
      </c>
      <c r="L188" s="7">
        <v>0</v>
      </c>
      <c r="M188" s="3" t="s">
        <v>47</v>
      </c>
      <c r="N188" s="3">
        <v>649.95000000000005</v>
      </c>
      <c r="O188" s="3">
        <v>0</v>
      </c>
      <c r="P188" s="3">
        <v>649.95000000000005</v>
      </c>
    </row>
    <row r="189" spans="1:16" x14ac:dyDescent="0.3">
      <c r="A189" s="3" t="s">
        <v>532</v>
      </c>
      <c r="B189" s="15">
        <v>45945</v>
      </c>
      <c r="C189" s="15" t="str">
        <f t="shared" si="2"/>
        <v>October</v>
      </c>
      <c r="D189" s="3" t="s">
        <v>534</v>
      </c>
      <c r="E189" s="3" t="s">
        <v>51</v>
      </c>
      <c r="F189" s="3" t="s">
        <v>52</v>
      </c>
      <c r="G189" s="3" t="s">
        <v>34</v>
      </c>
      <c r="H189" s="3" t="s">
        <v>21</v>
      </c>
      <c r="I189" s="3" t="s">
        <v>22</v>
      </c>
      <c r="J189" s="5">
        <v>5</v>
      </c>
      <c r="K189" s="3">
        <v>89.99</v>
      </c>
      <c r="L189" s="7">
        <v>0.05</v>
      </c>
      <c r="M189" s="3" t="s">
        <v>37</v>
      </c>
      <c r="N189" s="3">
        <v>449.95</v>
      </c>
      <c r="O189" s="3">
        <v>22.5</v>
      </c>
      <c r="P189" s="3">
        <v>427.45</v>
      </c>
    </row>
    <row r="190" spans="1:16" x14ac:dyDescent="0.3">
      <c r="A190" s="3" t="s">
        <v>535</v>
      </c>
      <c r="B190" s="15">
        <v>45760</v>
      </c>
      <c r="C190" s="15" t="str">
        <f t="shared" si="2"/>
        <v>April</v>
      </c>
      <c r="D190" s="3" t="s">
        <v>537</v>
      </c>
      <c r="E190" s="3" t="s">
        <v>32</v>
      </c>
      <c r="F190" s="3" t="s">
        <v>33</v>
      </c>
      <c r="G190" s="3" t="s">
        <v>20</v>
      </c>
      <c r="H190" s="3" t="s">
        <v>74</v>
      </c>
      <c r="I190" s="3" t="s">
        <v>112</v>
      </c>
      <c r="J190" s="5">
        <v>6</v>
      </c>
      <c r="K190" s="3">
        <v>129.99</v>
      </c>
      <c r="L190" s="7">
        <v>0.05</v>
      </c>
      <c r="M190" s="3" t="s">
        <v>80</v>
      </c>
      <c r="N190" s="3">
        <v>779.94</v>
      </c>
      <c r="O190" s="3">
        <v>39</v>
      </c>
      <c r="P190" s="3">
        <v>740.94</v>
      </c>
    </row>
    <row r="191" spans="1:16" x14ac:dyDescent="0.3">
      <c r="A191" s="3" t="s">
        <v>538</v>
      </c>
      <c r="B191" s="15">
        <v>45999</v>
      </c>
      <c r="C191" s="15" t="str">
        <f t="shared" si="2"/>
        <v>December</v>
      </c>
      <c r="D191" s="3" t="s">
        <v>262</v>
      </c>
      <c r="E191" s="3" t="s">
        <v>72</v>
      </c>
      <c r="F191" s="3" t="s">
        <v>73</v>
      </c>
      <c r="G191" s="3" t="s">
        <v>20</v>
      </c>
      <c r="H191" s="3" t="s">
        <v>74</v>
      </c>
      <c r="I191" s="3" t="s">
        <v>112</v>
      </c>
      <c r="J191" s="5">
        <v>6</v>
      </c>
      <c r="K191" s="3">
        <v>129.99</v>
      </c>
      <c r="L191" s="7">
        <v>0</v>
      </c>
      <c r="M191" s="3" t="s">
        <v>37</v>
      </c>
      <c r="N191" s="3">
        <v>779.94</v>
      </c>
      <c r="O191" s="3">
        <v>0</v>
      </c>
      <c r="P191" s="3">
        <v>779.94</v>
      </c>
    </row>
    <row r="192" spans="1:16" x14ac:dyDescent="0.3">
      <c r="A192" s="3" t="s">
        <v>540</v>
      </c>
      <c r="B192" s="15">
        <v>45720</v>
      </c>
      <c r="C192" s="15" t="str">
        <f t="shared" si="2"/>
        <v>March</v>
      </c>
      <c r="D192" s="3" t="s">
        <v>236</v>
      </c>
      <c r="E192" s="3" t="s">
        <v>51</v>
      </c>
      <c r="F192" s="3" t="s">
        <v>52</v>
      </c>
      <c r="G192" s="3" t="s">
        <v>20</v>
      </c>
      <c r="H192" s="3" t="s">
        <v>57</v>
      </c>
      <c r="I192" s="3" t="s">
        <v>58</v>
      </c>
      <c r="J192" s="5">
        <v>5</v>
      </c>
      <c r="K192" s="3">
        <v>89.99</v>
      </c>
      <c r="L192" s="7">
        <v>0</v>
      </c>
      <c r="M192" s="3" t="s">
        <v>47</v>
      </c>
      <c r="N192" s="3">
        <v>449.95</v>
      </c>
      <c r="O192" s="3">
        <v>0</v>
      </c>
      <c r="P192" s="3">
        <v>449.95</v>
      </c>
    </row>
    <row r="193" spans="1:16" x14ac:dyDescent="0.3">
      <c r="A193" s="3" t="s">
        <v>541</v>
      </c>
      <c r="B193" s="15">
        <v>45724</v>
      </c>
      <c r="C193" s="15" t="str">
        <f t="shared" si="2"/>
        <v>March</v>
      </c>
      <c r="D193" s="3" t="s">
        <v>343</v>
      </c>
      <c r="E193" s="3" t="s">
        <v>18</v>
      </c>
      <c r="F193" s="3" t="s">
        <v>56</v>
      </c>
      <c r="G193" s="3" t="s">
        <v>20</v>
      </c>
      <c r="H193" s="3" t="s">
        <v>74</v>
      </c>
      <c r="I193" s="3" t="s">
        <v>112</v>
      </c>
      <c r="J193" s="5">
        <v>4</v>
      </c>
      <c r="K193" s="3">
        <v>129.99</v>
      </c>
      <c r="L193" s="7">
        <v>0.1</v>
      </c>
      <c r="M193" s="3" t="s">
        <v>80</v>
      </c>
      <c r="N193" s="3">
        <v>519.96</v>
      </c>
      <c r="O193" s="3">
        <v>52</v>
      </c>
      <c r="P193" s="3">
        <v>467.96</v>
      </c>
    </row>
    <row r="194" spans="1:16" x14ac:dyDescent="0.3">
      <c r="A194" s="3" t="s">
        <v>542</v>
      </c>
      <c r="B194" s="15">
        <v>45695</v>
      </c>
      <c r="C194" s="15" t="str">
        <f t="shared" ref="C194:C257" si="3">TEXT(B194,"mmmm")</f>
        <v>February</v>
      </c>
      <c r="D194" s="3" t="s">
        <v>543</v>
      </c>
      <c r="E194" s="3" t="s">
        <v>72</v>
      </c>
      <c r="F194" s="3" t="s">
        <v>152</v>
      </c>
      <c r="G194" s="3" t="s">
        <v>34</v>
      </c>
      <c r="H194" s="3" t="s">
        <v>57</v>
      </c>
      <c r="I194" s="3" t="s">
        <v>130</v>
      </c>
      <c r="J194" s="5">
        <v>4</v>
      </c>
      <c r="K194" s="3">
        <v>109.99</v>
      </c>
      <c r="L194" s="7">
        <v>0.1</v>
      </c>
      <c r="M194" s="3" t="s">
        <v>80</v>
      </c>
      <c r="N194" s="3">
        <v>439.96</v>
      </c>
      <c r="O194" s="3">
        <v>44</v>
      </c>
      <c r="P194" s="3">
        <v>395.96</v>
      </c>
    </row>
    <row r="195" spans="1:16" x14ac:dyDescent="0.3">
      <c r="A195" s="3" t="s">
        <v>544</v>
      </c>
      <c r="B195" s="15">
        <v>45985</v>
      </c>
      <c r="C195" s="15" t="str">
        <f t="shared" si="3"/>
        <v>November</v>
      </c>
      <c r="D195" s="3" t="s">
        <v>349</v>
      </c>
      <c r="E195" s="3" t="s">
        <v>32</v>
      </c>
      <c r="F195" s="3" t="s">
        <v>33</v>
      </c>
      <c r="G195" s="3" t="s">
        <v>20</v>
      </c>
      <c r="H195" s="3" t="s">
        <v>74</v>
      </c>
      <c r="I195" s="3" t="s">
        <v>75</v>
      </c>
      <c r="J195" s="5">
        <v>2</v>
      </c>
      <c r="K195" s="3">
        <v>299.99</v>
      </c>
      <c r="L195" s="7">
        <v>0.1</v>
      </c>
      <c r="M195" s="3" t="s">
        <v>47</v>
      </c>
      <c r="N195" s="3">
        <v>599.98</v>
      </c>
      <c r="O195" s="3">
        <v>60</v>
      </c>
      <c r="P195" s="3">
        <v>539.98</v>
      </c>
    </row>
    <row r="196" spans="1:16" x14ac:dyDescent="0.3">
      <c r="A196" s="3" t="s">
        <v>545</v>
      </c>
      <c r="B196" s="15">
        <v>45813</v>
      </c>
      <c r="C196" s="15" t="str">
        <f t="shared" si="3"/>
        <v>June</v>
      </c>
      <c r="D196" s="3" t="s">
        <v>546</v>
      </c>
      <c r="E196" s="3" t="s">
        <v>27</v>
      </c>
      <c r="F196" s="3" t="s">
        <v>28</v>
      </c>
      <c r="G196" s="3" t="s">
        <v>20</v>
      </c>
      <c r="H196" s="3" t="s">
        <v>74</v>
      </c>
      <c r="I196" s="3" t="s">
        <v>143</v>
      </c>
      <c r="J196" s="5">
        <v>5</v>
      </c>
      <c r="K196" s="3">
        <v>99.99</v>
      </c>
      <c r="L196" s="7">
        <v>0</v>
      </c>
      <c r="M196" s="3" t="s">
        <v>37</v>
      </c>
      <c r="N196" s="3">
        <v>499.95</v>
      </c>
      <c r="O196" s="3">
        <v>0</v>
      </c>
      <c r="P196" s="3">
        <v>499.95</v>
      </c>
    </row>
    <row r="197" spans="1:16" x14ac:dyDescent="0.3">
      <c r="A197" s="3" t="s">
        <v>547</v>
      </c>
      <c r="B197" s="15">
        <v>45758</v>
      </c>
      <c r="C197" s="15" t="str">
        <f t="shared" si="3"/>
        <v>April</v>
      </c>
      <c r="D197" s="3" t="s">
        <v>157</v>
      </c>
      <c r="E197" s="3" t="s">
        <v>32</v>
      </c>
      <c r="F197" s="3" t="s">
        <v>33</v>
      </c>
      <c r="G197" s="3" t="s">
        <v>34</v>
      </c>
      <c r="H197" s="3" t="s">
        <v>35</v>
      </c>
      <c r="I197" s="3" t="s">
        <v>134</v>
      </c>
      <c r="J197" s="5">
        <v>1</v>
      </c>
      <c r="K197" s="3">
        <v>139.99</v>
      </c>
      <c r="L197" s="7">
        <v>0</v>
      </c>
      <c r="M197" s="3" t="s">
        <v>47</v>
      </c>
      <c r="N197" s="3">
        <v>139.99</v>
      </c>
      <c r="O197" s="3">
        <v>0</v>
      </c>
      <c r="P197" s="3">
        <v>139.99</v>
      </c>
    </row>
    <row r="198" spans="1:16" x14ac:dyDescent="0.3">
      <c r="A198" s="3" t="s">
        <v>549</v>
      </c>
      <c r="B198" s="15">
        <v>45736</v>
      </c>
      <c r="C198" s="15" t="str">
        <f t="shared" si="3"/>
        <v>March</v>
      </c>
      <c r="D198" s="3" t="s">
        <v>551</v>
      </c>
      <c r="E198" s="3" t="s">
        <v>32</v>
      </c>
      <c r="F198" s="3" t="s">
        <v>45</v>
      </c>
      <c r="G198" s="3" t="s">
        <v>34</v>
      </c>
      <c r="H198" s="3" t="s">
        <v>57</v>
      </c>
      <c r="I198" s="3" t="s">
        <v>300</v>
      </c>
      <c r="J198" s="5">
        <v>5</v>
      </c>
      <c r="K198" s="3">
        <v>179.99</v>
      </c>
      <c r="L198" s="7">
        <v>0.1</v>
      </c>
      <c r="M198" s="3" t="s">
        <v>80</v>
      </c>
      <c r="N198" s="3">
        <v>899.95</v>
      </c>
      <c r="O198" s="3">
        <v>90</v>
      </c>
      <c r="P198" s="3">
        <v>809.95</v>
      </c>
    </row>
    <row r="199" spans="1:16" x14ac:dyDescent="0.3">
      <c r="A199" s="3" t="s">
        <v>552</v>
      </c>
      <c r="B199" s="15">
        <v>45991</v>
      </c>
      <c r="C199" s="15" t="str">
        <f t="shared" si="3"/>
        <v>November</v>
      </c>
      <c r="D199" s="3" t="s">
        <v>166</v>
      </c>
      <c r="E199" s="3" t="s">
        <v>27</v>
      </c>
      <c r="F199" s="3" t="s">
        <v>123</v>
      </c>
      <c r="G199" s="3" t="s">
        <v>34</v>
      </c>
      <c r="H199" s="3" t="s">
        <v>21</v>
      </c>
      <c r="I199" s="3" t="s">
        <v>22</v>
      </c>
      <c r="J199" s="5">
        <v>5</v>
      </c>
      <c r="K199" s="3">
        <v>89.99</v>
      </c>
      <c r="L199" s="7">
        <v>0</v>
      </c>
      <c r="M199" s="3" t="s">
        <v>80</v>
      </c>
      <c r="N199" s="3">
        <v>449.95</v>
      </c>
      <c r="O199" s="3">
        <v>0</v>
      </c>
      <c r="P199" s="3">
        <v>449.95</v>
      </c>
    </row>
    <row r="200" spans="1:16" x14ac:dyDescent="0.3">
      <c r="A200" s="3" t="s">
        <v>553</v>
      </c>
      <c r="B200" s="15">
        <v>45905</v>
      </c>
      <c r="C200" s="15" t="str">
        <f t="shared" si="3"/>
        <v>September</v>
      </c>
      <c r="D200" s="3" t="s">
        <v>243</v>
      </c>
      <c r="E200" s="3" t="s">
        <v>32</v>
      </c>
      <c r="F200" s="3" t="s">
        <v>33</v>
      </c>
      <c r="G200" s="3" t="s">
        <v>34</v>
      </c>
      <c r="H200" s="3" t="s">
        <v>74</v>
      </c>
      <c r="I200" s="3" t="s">
        <v>143</v>
      </c>
      <c r="J200" s="5">
        <v>6</v>
      </c>
      <c r="K200" s="3">
        <v>99.99</v>
      </c>
      <c r="L200" s="7">
        <v>0</v>
      </c>
      <c r="M200" s="3" t="s">
        <v>37</v>
      </c>
      <c r="N200" s="3">
        <v>599.94000000000005</v>
      </c>
      <c r="O200" s="3">
        <v>0</v>
      </c>
      <c r="P200" s="3">
        <v>599.94000000000005</v>
      </c>
    </row>
    <row r="201" spans="1:16" x14ac:dyDescent="0.3">
      <c r="A201" s="3" t="s">
        <v>554</v>
      </c>
      <c r="B201" s="15">
        <v>45905</v>
      </c>
      <c r="C201" s="15" t="str">
        <f t="shared" si="3"/>
        <v>September</v>
      </c>
      <c r="D201" s="3" t="s">
        <v>318</v>
      </c>
      <c r="E201" s="3" t="s">
        <v>27</v>
      </c>
      <c r="F201" s="3" t="s">
        <v>28</v>
      </c>
      <c r="G201" s="3" t="s">
        <v>20</v>
      </c>
      <c r="H201" s="3" t="s">
        <v>74</v>
      </c>
      <c r="I201" s="3" t="s">
        <v>112</v>
      </c>
      <c r="J201" s="5">
        <v>4</v>
      </c>
      <c r="K201" s="3">
        <v>129.99</v>
      </c>
      <c r="L201" s="7">
        <v>0.05</v>
      </c>
      <c r="M201" s="3" t="s">
        <v>37</v>
      </c>
      <c r="N201" s="3">
        <v>519.96</v>
      </c>
      <c r="O201" s="3">
        <v>26</v>
      </c>
      <c r="P201" s="3">
        <v>493.96</v>
      </c>
    </row>
    <row r="202" spans="1:16" x14ac:dyDescent="0.3">
      <c r="A202" s="3" t="s">
        <v>555</v>
      </c>
      <c r="B202" s="15">
        <v>45862</v>
      </c>
      <c r="C202" s="15" t="str">
        <f t="shared" si="3"/>
        <v>July</v>
      </c>
      <c r="D202" s="3" t="s">
        <v>557</v>
      </c>
      <c r="E202" s="3" t="s">
        <v>18</v>
      </c>
      <c r="F202" s="3" t="s">
        <v>56</v>
      </c>
      <c r="G202" s="3" t="s">
        <v>34</v>
      </c>
      <c r="H202" s="3" t="s">
        <v>62</v>
      </c>
      <c r="I202" s="3" t="s">
        <v>63</v>
      </c>
      <c r="J202" s="5">
        <v>6</v>
      </c>
      <c r="K202" s="3">
        <v>199.99</v>
      </c>
      <c r="L202" s="7">
        <v>0</v>
      </c>
      <c r="M202" s="3" t="s">
        <v>80</v>
      </c>
      <c r="N202" s="3">
        <v>1199.94</v>
      </c>
      <c r="O202" s="3">
        <v>0</v>
      </c>
      <c r="P202" s="3">
        <v>1199.94</v>
      </c>
    </row>
    <row r="203" spans="1:16" x14ac:dyDescent="0.3">
      <c r="A203" s="3" t="s">
        <v>558</v>
      </c>
      <c r="B203" s="15">
        <v>45784</v>
      </c>
      <c r="C203" s="15" t="str">
        <f t="shared" si="3"/>
        <v>May</v>
      </c>
      <c r="D203" s="3" t="s">
        <v>559</v>
      </c>
      <c r="E203" s="3" t="s">
        <v>72</v>
      </c>
      <c r="F203" s="3" t="s">
        <v>73</v>
      </c>
      <c r="G203" s="3" t="s">
        <v>20</v>
      </c>
      <c r="H203" s="3" t="s">
        <v>57</v>
      </c>
      <c r="I203" s="3" t="s">
        <v>58</v>
      </c>
      <c r="J203" s="5">
        <v>3</v>
      </c>
      <c r="K203" s="3">
        <v>89.99</v>
      </c>
      <c r="L203" s="7">
        <v>0.05</v>
      </c>
      <c r="M203" s="3" t="s">
        <v>80</v>
      </c>
      <c r="N203" s="3">
        <v>269.97000000000003</v>
      </c>
      <c r="O203" s="3">
        <v>13.5</v>
      </c>
      <c r="P203" s="3">
        <v>256.47000000000003</v>
      </c>
    </row>
    <row r="204" spans="1:16" x14ac:dyDescent="0.3">
      <c r="A204" s="3" t="s">
        <v>560</v>
      </c>
      <c r="B204" s="15">
        <v>45825</v>
      </c>
      <c r="C204" s="15" t="str">
        <f t="shared" si="3"/>
        <v>June</v>
      </c>
      <c r="D204" s="3" t="s">
        <v>562</v>
      </c>
      <c r="E204" s="3" t="s">
        <v>32</v>
      </c>
      <c r="F204" s="3" t="s">
        <v>33</v>
      </c>
      <c r="G204" s="3" t="s">
        <v>34</v>
      </c>
      <c r="H204" s="3" t="s">
        <v>57</v>
      </c>
      <c r="I204" s="3" t="s">
        <v>130</v>
      </c>
      <c r="J204" s="5">
        <v>2</v>
      </c>
      <c r="K204" s="3">
        <v>109.99</v>
      </c>
      <c r="L204" s="7">
        <v>0</v>
      </c>
      <c r="M204" s="3" t="s">
        <v>47</v>
      </c>
      <c r="N204" s="3">
        <v>219.98</v>
      </c>
      <c r="O204" s="3">
        <v>0</v>
      </c>
      <c r="P204" s="3">
        <v>219.98</v>
      </c>
    </row>
    <row r="205" spans="1:16" x14ac:dyDescent="0.3">
      <c r="A205" s="3" t="s">
        <v>563</v>
      </c>
      <c r="B205" s="15">
        <v>45912</v>
      </c>
      <c r="C205" s="15" t="str">
        <f t="shared" si="3"/>
        <v>September</v>
      </c>
      <c r="D205" s="3" t="s">
        <v>565</v>
      </c>
      <c r="E205" s="3" t="s">
        <v>32</v>
      </c>
      <c r="F205" s="3" t="s">
        <v>33</v>
      </c>
      <c r="G205" s="3" t="s">
        <v>20</v>
      </c>
      <c r="H205" s="3" t="s">
        <v>35</v>
      </c>
      <c r="I205" s="3" t="s">
        <v>36</v>
      </c>
      <c r="J205" s="5">
        <v>4</v>
      </c>
      <c r="K205" s="3">
        <v>79.989999999999995</v>
      </c>
      <c r="L205" s="7">
        <v>0</v>
      </c>
      <c r="M205" s="3" t="s">
        <v>23</v>
      </c>
      <c r="N205" s="3">
        <v>319.95999999999998</v>
      </c>
      <c r="O205" s="3">
        <v>0</v>
      </c>
      <c r="P205" s="3">
        <v>319.95999999999998</v>
      </c>
    </row>
    <row r="206" spans="1:16" x14ac:dyDescent="0.3">
      <c r="A206" s="3" t="s">
        <v>566</v>
      </c>
      <c r="B206" s="15">
        <v>45682</v>
      </c>
      <c r="C206" s="15" t="str">
        <f t="shared" si="3"/>
        <v>January</v>
      </c>
      <c r="D206" s="3" t="s">
        <v>568</v>
      </c>
      <c r="E206" s="3" t="s">
        <v>51</v>
      </c>
      <c r="F206" s="3" t="s">
        <v>108</v>
      </c>
      <c r="G206" s="3" t="s">
        <v>34</v>
      </c>
      <c r="H206" s="3" t="s">
        <v>62</v>
      </c>
      <c r="I206" s="3" t="s">
        <v>79</v>
      </c>
      <c r="J206" s="5">
        <v>5</v>
      </c>
      <c r="K206" s="3">
        <v>249.99</v>
      </c>
      <c r="L206" s="7">
        <v>0</v>
      </c>
      <c r="M206" s="3" t="s">
        <v>23</v>
      </c>
      <c r="N206" s="3">
        <v>1249.95</v>
      </c>
      <c r="O206" s="3">
        <v>0</v>
      </c>
      <c r="P206" s="3">
        <v>1249.95</v>
      </c>
    </row>
    <row r="207" spans="1:16" x14ac:dyDescent="0.3">
      <c r="A207" s="3" t="s">
        <v>569</v>
      </c>
      <c r="B207" s="15">
        <v>45726</v>
      </c>
      <c r="C207" s="15" t="str">
        <f t="shared" si="3"/>
        <v>March</v>
      </c>
      <c r="D207" s="3" t="s">
        <v>149</v>
      </c>
      <c r="E207" s="3" t="s">
        <v>18</v>
      </c>
      <c r="F207" s="3" t="s">
        <v>19</v>
      </c>
      <c r="G207" s="3" t="s">
        <v>34</v>
      </c>
      <c r="H207" s="3" t="s">
        <v>62</v>
      </c>
      <c r="I207" s="3" t="s">
        <v>79</v>
      </c>
      <c r="J207" s="5">
        <v>1</v>
      </c>
      <c r="K207" s="3">
        <v>249.99</v>
      </c>
      <c r="L207" s="7">
        <v>0.05</v>
      </c>
      <c r="M207" s="3" t="s">
        <v>37</v>
      </c>
      <c r="N207" s="3">
        <v>249.99</v>
      </c>
      <c r="O207" s="3">
        <v>12.5</v>
      </c>
      <c r="P207" s="3">
        <v>237.49</v>
      </c>
    </row>
    <row r="208" spans="1:16" x14ac:dyDescent="0.3">
      <c r="A208" s="3" t="s">
        <v>571</v>
      </c>
      <c r="B208" s="15">
        <v>45945</v>
      </c>
      <c r="C208" s="15" t="str">
        <f t="shared" si="3"/>
        <v>October</v>
      </c>
      <c r="D208" s="3" t="s">
        <v>572</v>
      </c>
      <c r="E208" s="3" t="s">
        <v>27</v>
      </c>
      <c r="F208" s="3" t="s">
        <v>67</v>
      </c>
      <c r="G208" s="3" t="s">
        <v>34</v>
      </c>
      <c r="H208" s="3" t="s">
        <v>74</v>
      </c>
      <c r="I208" s="3" t="s">
        <v>75</v>
      </c>
      <c r="J208" s="5">
        <v>1</v>
      </c>
      <c r="K208" s="3">
        <v>299.99</v>
      </c>
      <c r="L208" s="7">
        <v>0.1</v>
      </c>
      <c r="M208" s="3" t="s">
        <v>37</v>
      </c>
      <c r="N208" s="3">
        <v>299.99</v>
      </c>
      <c r="O208" s="3">
        <v>30</v>
      </c>
      <c r="P208" s="3">
        <v>269.99</v>
      </c>
    </row>
    <row r="209" spans="1:16" x14ac:dyDescent="0.3">
      <c r="A209" s="3" t="s">
        <v>573</v>
      </c>
      <c r="B209" s="15">
        <v>45977</v>
      </c>
      <c r="C209" s="15" t="str">
        <f t="shared" si="3"/>
        <v>November</v>
      </c>
      <c r="D209" s="3" t="s">
        <v>575</v>
      </c>
      <c r="E209" s="3" t="s">
        <v>32</v>
      </c>
      <c r="F209" s="3" t="s">
        <v>33</v>
      </c>
      <c r="G209" s="3" t="s">
        <v>20</v>
      </c>
      <c r="H209" s="3" t="s">
        <v>21</v>
      </c>
      <c r="I209" s="3" t="s">
        <v>46</v>
      </c>
      <c r="J209" s="5">
        <v>5</v>
      </c>
      <c r="K209" s="3">
        <v>119.99</v>
      </c>
      <c r="L209" s="7">
        <v>0</v>
      </c>
      <c r="M209" s="3" t="s">
        <v>47</v>
      </c>
      <c r="N209" s="3">
        <v>599.95000000000005</v>
      </c>
      <c r="O209" s="3">
        <v>0</v>
      </c>
      <c r="P209" s="3">
        <v>599.95000000000005</v>
      </c>
    </row>
    <row r="210" spans="1:16" x14ac:dyDescent="0.3">
      <c r="A210" s="3" t="s">
        <v>576</v>
      </c>
      <c r="B210" s="15">
        <v>45731</v>
      </c>
      <c r="C210" s="15" t="str">
        <f t="shared" si="3"/>
        <v>March</v>
      </c>
      <c r="D210" s="3" t="s">
        <v>577</v>
      </c>
      <c r="E210" s="3" t="s">
        <v>18</v>
      </c>
      <c r="F210" s="3" t="s">
        <v>56</v>
      </c>
      <c r="G210" s="3" t="s">
        <v>34</v>
      </c>
      <c r="H210" s="3" t="s">
        <v>21</v>
      </c>
      <c r="I210" s="3" t="s">
        <v>46</v>
      </c>
      <c r="J210" s="5">
        <v>5</v>
      </c>
      <c r="K210" s="3">
        <v>119.99</v>
      </c>
      <c r="L210" s="7">
        <v>0</v>
      </c>
      <c r="M210" s="3" t="s">
        <v>80</v>
      </c>
      <c r="N210" s="3">
        <v>599.95000000000005</v>
      </c>
      <c r="O210" s="3">
        <v>0</v>
      </c>
      <c r="P210" s="3">
        <v>599.95000000000005</v>
      </c>
    </row>
    <row r="211" spans="1:16" x14ac:dyDescent="0.3">
      <c r="A211" s="3" t="s">
        <v>578</v>
      </c>
      <c r="B211" s="15">
        <v>45891</v>
      </c>
      <c r="C211" s="15" t="str">
        <f t="shared" si="3"/>
        <v>August</v>
      </c>
      <c r="D211" s="3" t="s">
        <v>580</v>
      </c>
      <c r="E211" s="3" t="s">
        <v>51</v>
      </c>
      <c r="F211" s="3" t="s">
        <v>52</v>
      </c>
      <c r="G211" s="3" t="s">
        <v>20</v>
      </c>
      <c r="H211" s="3" t="s">
        <v>21</v>
      </c>
      <c r="I211" s="3" t="s">
        <v>22</v>
      </c>
      <c r="J211" s="5">
        <v>4</v>
      </c>
      <c r="K211" s="3">
        <v>89.99</v>
      </c>
      <c r="L211" s="7">
        <v>0.1</v>
      </c>
      <c r="M211" s="3" t="s">
        <v>37</v>
      </c>
      <c r="N211" s="3">
        <v>359.96</v>
      </c>
      <c r="O211" s="3">
        <v>36</v>
      </c>
      <c r="P211" s="3">
        <v>323.95999999999998</v>
      </c>
    </row>
    <row r="212" spans="1:16" x14ac:dyDescent="0.3">
      <c r="A212" s="3" t="s">
        <v>581</v>
      </c>
      <c r="B212" s="15">
        <v>45811</v>
      </c>
      <c r="C212" s="15" t="str">
        <f t="shared" si="3"/>
        <v>June</v>
      </c>
      <c r="D212" s="3" t="s">
        <v>583</v>
      </c>
      <c r="E212" s="3" t="s">
        <v>51</v>
      </c>
      <c r="F212" s="3" t="s">
        <v>52</v>
      </c>
      <c r="G212" s="3" t="s">
        <v>34</v>
      </c>
      <c r="H212" s="3" t="s">
        <v>62</v>
      </c>
      <c r="I212" s="3" t="s">
        <v>249</v>
      </c>
      <c r="J212" s="5">
        <v>5</v>
      </c>
      <c r="K212" s="3">
        <v>49.99</v>
      </c>
      <c r="L212" s="7">
        <v>0.15</v>
      </c>
      <c r="M212" s="3" t="s">
        <v>23</v>
      </c>
      <c r="N212" s="3">
        <v>249.95</v>
      </c>
      <c r="O212" s="3">
        <v>37.49</v>
      </c>
      <c r="P212" s="3">
        <v>212.46</v>
      </c>
    </row>
    <row r="213" spans="1:16" x14ac:dyDescent="0.3">
      <c r="A213" s="3" t="s">
        <v>584</v>
      </c>
      <c r="B213" s="15">
        <v>46002</v>
      </c>
      <c r="C213" s="15" t="str">
        <f t="shared" si="3"/>
        <v>December</v>
      </c>
      <c r="D213" s="3" t="s">
        <v>585</v>
      </c>
      <c r="E213" s="3" t="s">
        <v>72</v>
      </c>
      <c r="F213" s="3" t="s">
        <v>73</v>
      </c>
      <c r="G213" s="3" t="s">
        <v>34</v>
      </c>
      <c r="H213" s="3" t="s">
        <v>62</v>
      </c>
      <c r="I213" s="3" t="s">
        <v>249</v>
      </c>
      <c r="J213" s="5">
        <v>3</v>
      </c>
      <c r="K213" s="3">
        <v>49.99</v>
      </c>
      <c r="L213" s="7">
        <v>0</v>
      </c>
      <c r="M213" s="3" t="s">
        <v>37</v>
      </c>
      <c r="N213" s="3">
        <v>149.97</v>
      </c>
      <c r="O213" s="3">
        <v>0</v>
      </c>
      <c r="P213" s="3">
        <v>149.97</v>
      </c>
    </row>
    <row r="214" spans="1:16" x14ac:dyDescent="0.3">
      <c r="A214" s="3" t="s">
        <v>586</v>
      </c>
      <c r="B214" s="15">
        <v>45956</v>
      </c>
      <c r="C214" s="15" t="str">
        <f t="shared" si="3"/>
        <v>October</v>
      </c>
      <c r="D214" s="3" t="s">
        <v>588</v>
      </c>
      <c r="E214" s="3" t="s">
        <v>18</v>
      </c>
      <c r="F214" s="3" t="s">
        <v>19</v>
      </c>
      <c r="G214" s="3" t="s">
        <v>20</v>
      </c>
      <c r="H214" s="3" t="s">
        <v>21</v>
      </c>
      <c r="I214" s="3" t="s">
        <v>46</v>
      </c>
      <c r="J214" s="5">
        <v>6</v>
      </c>
      <c r="K214" s="3">
        <v>119.99</v>
      </c>
      <c r="L214" s="7">
        <v>0</v>
      </c>
      <c r="M214" s="3" t="s">
        <v>23</v>
      </c>
      <c r="N214" s="3">
        <v>719.94</v>
      </c>
      <c r="O214" s="3">
        <v>0</v>
      </c>
      <c r="P214" s="3">
        <v>719.94</v>
      </c>
    </row>
    <row r="215" spans="1:16" x14ac:dyDescent="0.3">
      <c r="A215" s="3" t="s">
        <v>589</v>
      </c>
      <c r="B215" s="15">
        <v>45755</v>
      </c>
      <c r="C215" s="15" t="str">
        <f t="shared" si="3"/>
        <v>April</v>
      </c>
      <c r="D215" s="3" t="s">
        <v>92</v>
      </c>
      <c r="E215" s="3" t="s">
        <v>27</v>
      </c>
      <c r="F215" s="3" t="s">
        <v>123</v>
      </c>
      <c r="G215" s="3" t="s">
        <v>34</v>
      </c>
      <c r="H215" s="3" t="s">
        <v>35</v>
      </c>
      <c r="I215" s="3" t="s">
        <v>41</v>
      </c>
      <c r="J215" s="5">
        <v>6</v>
      </c>
      <c r="K215" s="3">
        <v>104.99</v>
      </c>
      <c r="L215" s="7">
        <v>0</v>
      </c>
      <c r="M215" s="3" t="s">
        <v>37</v>
      </c>
      <c r="N215" s="3">
        <v>629.94000000000005</v>
      </c>
      <c r="O215" s="3">
        <v>0</v>
      </c>
      <c r="P215" s="3">
        <v>629.94000000000005</v>
      </c>
    </row>
    <row r="216" spans="1:16" x14ac:dyDescent="0.3">
      <c r="A216" s="3" t="s">
        <v>590</v>
      </c>
      <c r="B216" s="15">
        <v>45971</v>
      </c>
      <c r="C216" s="15" t="str">
        <f t="shared" si="3"/>
        <v>November</v>
      </c>
      <c r="D216" s="3" t="s">
        <v>294</v>
      </c>
      <c r="E216" s="3" t="s">
        <v>72</v>
      </c>
      <c r="F216" s="3" t="s">
        <v>73</v>
      </c>
      <c r="G216" s="3" t="s">
        <v>34</v>
      </c>
      <c r="H216" s="3" t="s">
        <v>74</v>
      </c>
      <c r="I216" s="3" t="s">
        <v>112</v>
      </c>
      <c r="J216" s="5">
        <v>4</v>
      </c>
      <c r="K216" s="3">
        <v>129.99</v>
      </c>
      <c r="L216" s="7">
        <v>0.1</v>
      </c>
      <c r="M216" s="3" t="s">
        <v>80</v>
      </c>
      <c r="N216" s="3">
        <v>519.96</v>
      </c>
      <c r="O216" s="3">
        <v>52</v>
      </c>
      <c r="P216" s="3">
        <v>467.96</v>
      </c>
    </row>
    <row r="217" spans="1:16" x14ac:dyDescent="0.3">
      <c r="A217" s="3" t="s">
        <v>592</v>
      </c>
      <c r="B217" s="15">
        <v>45927</v>
      </c>
      <c r="C217" s="15" t="str">
        <f t="shared" si="3"/>
        <v>September</v>
      </c>
      <c r="D217" s="3" t="s">
        <v>594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41</v>
      </c>
      <c r="J217" s="5">
        <v>6</v>
      </c>
      <c r="K217" s="3">
        <v>104.99</v>
      </c>
      <c r="L217" s="7">
        <v>0.05</v>
      </c>
      <c r="M217" s="3" t="s">
        <v>47</v>
      </c>
      <c r="N217" s="3">
        <v>629.94000000000005</v>
      </c>
      <c r="O217" s="3">
        <v>31.5</v>
      </c>
      <c r="P217" s="3">
        <v>598.44000000000005</v>
      </c>
    </row>
    <row r="218" spans="1:16" x14ac:dyDescent="0.3">
      <c r="A218" s="3" t="s">
        <v>595</v>
      </c>
      <c r="B218" s="15">
        <v>46006</v>
      </c>
      <c r="C218" s="15" t="str">
        <f t="shared" si="3"/>
        <v>December</v>
      </c>
      <c r="D218" s="3" t="s">
        <v>466</v>
      </c>
      <c r="E218" s="3" t="s">
        <v>18</v>
      </c>
      <c r="F218" s="3" t="s">
        <v>56</v>
      </c>
      <c r="G218" s="3" t="s">
        <v>34</v>
      </c>
      <c r="H218" s="3" t="s">
        <v>74</v>
      </c>
      <c r="I218" s="3" t="s">
        <v>143</v>
      </c>
      <c r="J218" s="5">
        <v>6</v>
      </c>
      <c r="K218" s="3">
        <v>99.99</v>
      </c>
      <c r="L218" s="7">
        <v>0.15</v>
      </c>
      <c r="M218" s="3" t="s">
        <v>23</v>
      </c>
      <c r="N218" s="3">
        <v>599.94000000000005</v>
      </c>
      <c r="O218" s="3">
        <v>89.99</v>
      </c>
      <c r="P218" s="3">
        <v>509.95</v>
      </c>
    </row>
    <row r="219" spans="1:16" x14ac:dyDescent="0.3">
      <c r="A219" s="3" t="s">
        <v>597</v>
      </c>
      <c r="B219" s="15">
        <v>45805</v>
      </c>
      <c r="C219" s="15" t="str">
        <f t="shared" si="3"/>
        <v>May</v>
      </c>
      <c r="D219" s="3" t="s">
        <v>598</v>
      </c>
      <c r="E219" s="3" t="s">
        <v>18</v>
      </c>
      <c r="F219" s="3" t="s">
        <v>56</v>
      </c>
      <c r="G219" s="3" t="s">
        <v>20</v>
      </c>
      <c r="H219" s="3" t="s">
        <v>35</v>
      </c>
      <c r="I219" s="3" t="s">
        <v>41</v>
      </c>
      <c r="J219" s="5">
        <v>2</v>
      </c>
      <c r="K219" s="3">
        <v>104.99</v>
      </c>
      <c r="L219" s="7">
        <v>0</v>
      </c>
      <c r="M219" s="3" t="s">
        <v>23</v>
      </c>
      <c r="N219" s="3">
        <v>209.98</v>
      </c>
      <c r="O219" s="3">
        <v>0</v>
      </c>
      <c r="P219" s="3">
        <v>209.98</v>
      </c>
    </row>
    <row r="220" spans="1:16" x14ac:dyDescent="0.3">
      <c r="A220" s="3" t="s">
        <v>599</v>
      </c>
      <c r="B220" s="15">
        <v>45951</v>
      </c>
      <c r="C220" s="15" t="str">
        <f t="shared" si="3"/>
        <v>October</v>
      </c>
      <c r="D220" s="3" t="s">
        <v>17</v>
      </c>
      <c r="E220" s="3" t="s">
        <v>18</v>
      </c>
      <c r="F220" s="3" t="s">
        <v>56</v>
      </c>
      <c r="G220" s="3" t="s">
        <v>34</v>
      </c>
      <c r="H220" s="3" t="s">
        <v>57</v>
      </c>
      <c r="I220" s="3" t="s">
        <v>130</v>
      </c>
      <c r="J220" s="5">
        <v>3</v>
      </c>
      <c r="K220" s="3">
        <v>109.99</v>
      </c>
      <c r="L220" s="7">
        <v>0</v>
      </c>
      <c r="M220" s="3" t="s">
        <v>23</v>
      </c>
      <c r="N220" s="3">
        <v>329.97</v>
      </c>
      <c r="O220" s="3">
        <v>0</v>
      </c>
      <c r="P220" s="3">
        <v>329.97</v>
      </c>
    </row>
    <row r="221" spans="1:16" x14ac:dyDescent="0.3">
      <c r="A221" s="3" t="s">
        <v>601</v>
      </c>
      <c r="B221" s="15">
        <v>45698</v>
      </c>
      <c r="C221" s="15" t="str">
        <f t="shared" si="3"/>
        <v>February</v>
      </c>
      <c r="D221" s="3" t="s">
        <v>262</v>
      </c>
      <c r="E221" s="3" t="s">
        <v>18</v>
      </c>
      <c r="F221" s="3" t="s">
        <v>19</v>
      </c>
      <c r="G221" s="3" t="s">
        <v>34</v>
      </c>
      <c r="H221" s="3" t="s">
        <v>57</v>
      </c>
      <c r="I221" s="3" t="s">
        <v>58</v>
      </c>
      <c r="J221" s="5">
        <v>3</v>
      </c>
      <c r="K221" s="3">
        <v>89.99</v>
      </c>
      <c r="L221" s="7">
        <v>0.15</v>
      </c>
      <c r="M221" s="3" t="s">
        <v>37</v>
      </c>
      <c r="N221" s="3">
        <v>269.97000000000003</v>
      </c>
      <c r="O221" s="3">
        <v>40.5</v>
      </c>
      <c r="P221" s="3">
        <v>229.47</v>
      </c>
    </row>
    <row r="222" spans="1:16" x14ac:dyDescent="0.3">
      <c r="A222" s="3" t="s">
        <v>602</v>
      </c>
      <c r="B222" s="15">
        <v>45797</v>
      </c>
      <c r="C222" s="15" t="str">
        <f t="shared" si="3"/>
        <v>May</v>
      </c>
      <c r="D222" s="3" t="s">
        <v>480</v>
      </c>
      <c r="E222" s="3" t="s">
        <v>51</v>
      </c>
      <c r="F222" s="3" t="s">
        <v>52</v>
      </c>
      <c r="G222" s="3" t="s">
        <v>20</v>
      </c>
      <c r="H222" s="3" t="s">
        <v>74</v>
      </c>
      <c r="I222" s="3" t="s">
        <v>112</v>
      </c>
      <c r="J222" s="5">
        <v>5</v>
      </c>
      <c r="K222" s="3">
        <v>129.99</v>
      </c>
      <c r="L222" s="7">
        <v>0.15</v>
      </c>
      <c r="M222" s="3" t="s">
        <v>47</v>
      </c>
      <c r="N222" s="3">
        <v>649.95000000000005</v>
      </c>
      <c r="O222" s="3">
        <v>97.49</v>
      </c>
      <c r="P222" s="3">
        <v>552.46</v>
      </c>
    </row>
    <row r="223" spans="1:16" x14ac:dyDescent="0.3">
      <c r="A223" s="3" t="s">
        <v>604</v>
      </c>
      <c r="B223" s="15">
        <v>45684</v>
      </c>
      <c r="C223" s="15" t="str">
        <f t="shared" si="3"/>
        <v>January</v>
      </c>
      <c r="D223" s="3" t="s">
        <v>606</v>
      </c>
      <c r="E223" s="3" t="s">
        <v>32</v>
      </c>
      <c r="F223" s="3" t="s">
        <v>45</v>
      </c>
      <c r="G223" s="3" t="s">
        <v>34</v>
      </c>
      <c r="H223" s="3" t="s">
        <v>35</v>
      </c>
      <c r="I223" s="3" t="s">
        <v>199</v>
      </c>
      <c r="J223" s="5">
        <v>6</v>
      </c>
      <c r="K223" s="3">
        <v>99.99</v>
      </c>
      <c r="L223" s="7">
        <v>0</v>
      </c>
      <c r="M223" s="3" t="s">
        <v>37</v>
      </c>
      <c r="N223" s="3">
        <v>599.94000000000005</v>
      </c>
      <c r="O223" s="3">
        <v>0</v>
      </c>
      <c r="P223" s="3">
        <v>599.94000000000005</v>
      </c>
    </row>
    <row r="224" spans="1:16" x14ac:dyDescent="0.3">
      <c r="A224" s="3" t="s">
        <v>607</v>
      </c>
      <c r="B224" s="15">
        <v>45866</v>
      </c>
      <c r="C224" s="15" t="str">
        <f t="shared" si="3"/>
        <v>July</v>
      </c>
      <c r="D224" s="3" t="s">
        <v>609</v>
      </c>
      <c r="E224" s="3" t="s">
        <v>51</v>
      </c>
      <c r="F224" s="3" t="s">
        <v>108</v>
      </c>
      <c r="G224" s="3" t="s">
        <v>34</v>
      </c>
      <c r="H224" s="3" t="s">
        <v>74</v>
      </c>
      <c r="I224" s="3" t="s">
        <v>112</v>
      </c>
      <c r="J224" s="5">
        <v>5</v>
      </c>
      <c r="K224" s="3">
        <v>129.99</v>
      </c>
      <c r="L224" s="7">
        <v>0</v>
      </c>
      <c r="M224" s="3" t="s">
        <v>23</v>
      </c>
      <c r="N224" s="3">
        <v>649.95000000000005</v>
      </c>
      <c r="O224" s="3">
        <v>0</v>
      </c>
      <c r="P224" s="3">
        <v>649.95000000000005</v>
      </c>
    </row>
    <row r="225" spans="1:16" x14ac:dyDescent="0.3">
      <c r="A225" s="3" t="s">
        <v>610</v>
      </c>
      <c r="B225" s="15">
        <v>45703</v>
      </c>
      <c r="C225" s="15" t="str">
        <f t="shared" si="3"/>
        <v>February</v>
      </c>
      <c r="D225" s="3" t="s">
        <v>612</v>
      </c>
      <c r="E225" s="3" t="s">
        <v>18</v>
      </c>
      <c r="F225" s="3" t="s">
        <v>56</v>
      </c>
      <c r="G225" s="3" t="s">
        <v>20</v>
      </c>
      <c r="H225" s="3" t="s">
        <v>35</v>
      </c>
      <c r="I225" s="3" t="s">
        <v>134</v>
      </c>
      <c r="J225" s="5">
        <v>6</v>
      </c>
      <c r="K225" s="3">
        <v>139.99</v>
      </c>
      <c r="L225" s="7">
        <v>0</v>
      </c>
      <c r="M225" s="3" t="s">
        <v>80</v>
      </c>
      <c r="N225" s="3">
        <v>839.94</v>
      </c>
      <c r="O225" s="3">
        <v>0</v>
      </c>
      <c r="P225" s="3">
        <v>839.94</v>
      </c>
    </row>
    <row r="226" spans="1:16" x14ac:dyDescent="0.3">
      <c r="A226" s="3" t="s">
        <v>613</v>
      </c>
      <c r="B226" s="15">
        <v>45753</v>
      </c>
      <c r="C226" s="15" t="str">
        <f t="shared" si="3"/>
        <v>April</v>
      </c>
      <c r="D226" s="3" t="s">
        <v>562</v>
      </c>
      <c r="E226" s="3" t="s">
        <v>51</v>
      </c>
      <c r="F226" s="3" t="s">
        <v>108</v>
      </c>
      <c r="G226" s="3" t="s">
        <v>34</v>
      </c>
      <c r="H226" s="3" t="s">
        <v>35</v>
      </c>
      <c r="I226" s="3" t="s">
        <v>36</v>
      </c>
      <c r="J226" s="5">
        <v>4</v>
      </c>
      <c r="K226" s="3">
        <v>79.989999999999995</v>
      </c>
      <c r="L226" s="7">
        <v>0.05</v>
      </c>
      <c r="M226" s="3" t="s">
        <v>80</v>
      </c>
      <c r="N226" s="3">
        <v>319.95999999999998</v>
      </c>
      <c r="O226" s="3">
        <v>16</v>
      </c>
      <c r="P226" s="3">
        <v>303.95999999999998</v>
      </c>
    </row>
    <row r="227" spans="1:16" x14ac:dyDescent="0.3">
      <c r="A227" s="3" t="s">
        <v>615</v>
      </c>
      <c r="B227" s="15">
        <v>45890</v>
      </c>
      <c r="C227" s="15" t="str">
        <f t="shared" si="3"/>
        <v>August</v>
      </c>
      <c r="D227" s="3" t="s">
        <v>466</v>
      </c>
      <c r="E227" s="3" t="s">
        <v>32</v>
      </c>
      <c r="F227" s="3" t="s">
        <v>45</v>
      </c>
      <c r="G227" s="3" t="s">
        <v>34</v>
      </c>
      <c r="H227" s="3" t="s">
        <v>21</v>
      </c>
      <c r="I227" s="3" t="s">
        <v>87</v>
      </c>
      <c r="J227" s="5">
        <v>3</v>
      </c>
      <c r="K227" s="3">
        <v>149.99</v>
      </c>
      <c r="L227" s="7">
        <v>0</v>
      </c>
      <c r="M227" s="3" t="s">
        <v>47</v>
      </c>
      <c r="N227" s="3">
        <v>449.97</v>
      </c>
      <c r="O227" s="3">
        <v>0</v>
      </c>
      <c r="P227" s="3">
        <v>449.97</v>
      </c>
    </row>
    <row r="228" spans="1:16" x14ac:dyDescent="0.3">
      <c r="A228" s="3" t="s">
        <v>617</v>
      </c>
      <c r="B228" s="15">
        <v>45741</v>
      </c>
      <c r="C228" s="15" t="str">
        <f t="shared" si="3"/>
        <v>March</v>
      </c>
      <c r="D228" s="3" t="s">
        <v>95</v>
      </c>
      <c r="E228" s="3" t="s">
        <v>18</v>
      </c>
      <c r="F228" s="3" t="s">
        <v>19</v>
      </c>
      <c r="G228" s="3" t="s">
        <v>34</v>
      </c>
      <c r="H228" s="3" t="s">
        <v>62</v>
      </c>
      <c r="I228" s="3" t="s">
        <v>79</v>
      </c>
      <c r="J228" s="5">
        <v>1</v>
      </c>
      <c r="K228" s="3">
        <v>249.99</v>
      </c>
      <c r="L228" s="7">
        <v>0</v>
      </c>
      <c r="M228" s="3" t="s">
        <v>37</v>
      </c>
      <c r="N228" s="3">
        <v>249.99</v>
      </c>
      <c r="O228" s="3">
        <v>0</v>
      </c>
      <c r="P228" s="3">
        <v>249.99</v>
      </c>
    </row>
    <row r="229" spans="1:16" x14ac:dyDescent="0.3">
      <c r="A229" s="3" t="s">
        <v>619</v>
      </c>
      <c r="B229" s="15">
        <v>45756</v>
      </c>
      <c r="C229" s="15" t="str">
        <f t="shared" si="3"/>
        <v>April</v>
      </c>
      <c r="D229" s="3" t="s">
        <v>429</v>
      </c>
      <c r="E229" s="3" t="s">
        <v>18</v>
      </c>
      <c r="F229" s="3" t="s">
        <v>56</v>
      </c>
      <c r="G229" s="3" t="s">
        <v>34</v>
      </c>
      <c r="H229" s="3" t="s">
        <v>35</v>
      </c>
      <c r="I229" s="3" t="s">
        <v>199</v>
      </c>
      <c r="J229" s="5">
        <v>5</v>
      </c>
      <c r="K229" s="3">
        <v>99.99</v>
      </c>
      <c r="L229" s="7">
        <v>0.15</v>
      </c>
      <c r="M229" s="3" t="s">
        <v>23</v>
      </c>
      <c r="N229" s="3">
        <v>499.95</v>
      </c>
      <c r="O229" s="3">
        <v>74.989999999999995</v>
      </c>
      <c r="P229" s="3">
        <v>424.96</v>
      </c>
    </row>
    <row r="230" spans="1:16" x14ac:dyDescent="0.3">
      <c r="A230" s="3" t="s">
        <v>621</v>
      </c>
      <c r="B230" s="15">
        <v>45752</v>
      </c>
      <c r="C230" s="15" t="str">
        <f t="shared" si="3"/>
        <v>April</v>
      </c>
      <c r="D230" s="3" t="s">
        <v>480</v>
      </c>
      <c r="E230" s="3" t="s">
        <v>27</v>
      </c>
      <c r="F230" s="3" t="s">
        <v>67</v>
      </c>
      <c r="G230" s="3" t="s">
        <v>34</v>
      </c>
      <c r="H230" s="3" t="s">
        <v>62</v>
      </c>
      <c r="I230" s="3" t="s">
        <v>249</v>
      </c>
      <c r="J230" s="5">
        <v>6</v>
      </c>
      <c r="K230" s="3">
        <v>49.99</v>
      </c>
      <c r="L230" s="7">
        <v>0</v>
      </c>
      <c r="M230" s="3" t="s">
        <v>37</v>
      </c>
      <c r="N230" s="3">
        <v>299.94</v>
      </c>
      <c r="O230" s="3">
        <v>0</v>
      </c>
      <c r="P230" s="3">
        <v>299.94</v>
      </c>
    </row>
    <row r="231" spans="1:16" x14ac:dyDescent="0.3">
      <c r="A231" s="3" t="s">
        <v>622</v>
      </c>
      <c r="B231" s="15">
        <v>45794</v>
      </c>
      <c r="C231" s="15" t="str">
        <f t="shared" si="3"/>
        <v>May</v>
      </c>
      <c r="D231" s="3" t="s">
        <v>623</v>
      </c>
      <c r="E231" s="3" t="s">
        <v>18</v>
      </c>
      <c r="F231" s="3" t="s">
        <v>56</v>
      </c>
      <c r="G231" s="3" t="s">
        <v>34</v>
      </c>
      <c r="H231" s="3" t="s">
        <v>35</v>
      </c>
      <c r="I231" s="3" t="s">
        <v>199</v>
      </c>
      <c r="J231" s="5">
        <v>2</v>
      </c>
      <c r="K231" s="3">
        <v>99.99</v>
      </c>
      <c r="L231" s="7">
        <v>0.05</v>
      </c>
      <c r="M231" s="3" t="s">
        <v>37</v>
      </c>
      <c r="N231" s="3">
        <v>199.98</v>
      </c>
      <c r="O231" s="3">
        <v>10</v>
      </c>
      <c r="P231" s="3">
        <v>189.98</v>
      </c>
    </row>
    <row r="232" spans="1:16" x14ac:dyDescent="0.3">
      <c r="A232" s="3" t="s">
        <v>624</v>
      </c>
      <c r="B232" s="15">
        <v>45689</v>
      </c>
      <c r="C232" s="15" t="str">
        <f t="shared" si="3"/>
        <v>February</v>
      </c>
      <c r="D232" s="3" t="s">
        <v>626</v>
      </c>
      <c r="E232" s="3" t="s">
        <v>18</v>
      </c>
      <c r="F232" s="3" t="s">
        <v>56</v>
      </c>
      <c r="G232" s="3" t="s">
        <v>20</v>
      </c>
      <c r="H232" s="3" t="s">
        <v>62</v>
      </c>
      <c r="I232" s="3" t="s">
        <v>124</v>
      </c>
      <c r="J232" s="5">
        <v>6</v>
      </c>
      <c r="K232" s="3">
        <v>399.99</v>
      </c>
      <c r="L232" s="7">
        <v>0</v>
      </c>
      <c r="M232" s="3" t="s">
        <v>23</v>
      </c>
      <c r="N232" s="3">
        <v>2399.94</v>
      </c>
      <c r="O232" s="3">
        <v>0</v>
      </c>
      <c r="P232" s="3">
        <v>2399.94</v>
      </c>
    </row>
    <row r="233" spans="1:16" x14ac:dyDescent="0.3">
      <c r="A233" s="3" t="s">
        <v>627</v>
      </c>
      <c r="B233" s="15">
        <v>45985</v>
      </c>
      <c r="C233" s="15" t="str">
        <f t="shared" si="3"/>
        <v>November</v>
      </c>
      <c r="D233" s="3" t="s">
        <v>206</v>
      </c>
      <c r="E233" s="3" t="s">
        <v>72</v>
      </c>
      <c r="F233" s="3" t="s">
        <v>152</v>
      </c>
      <c r="G233" s="3" t="s">
        <v>34</v>
      </c>
      <c r="H233" s="3" t="s">
        <v>57</v>
      </c>
      <c r="I233" s="3" t="s">
        <v>58</v>
      </c>
      <c r="J233" s="5">
        <v>6</v>
      </c>
      <c r="K233" s="3">
        <v>89.99</v>
      </c>
      <c r="L233" s="7">
        <v>0</v>
      </c>
      <c r="M233" s="3" t="s">
        <v>37</v>
      </c>
      <c r="N233" s="3">
        <v>539.94000000000005</v>
      </c>
      <c r="O233" s="3">
        <v>0</v>
      </c>
      <c r="P233" s="3">
        <v>539.94000000000005</v>
      </c>
    </row>
    <row r="234" spans="1:16" x14ac:dyDescent="0.3">
      <c r="A234" s="3" t="s">
        <v>628</v>
      </c>
      <c r="B234" s="15">
        <v>45890</v>
      </c>
      <c r="C234" s="15" t="str">
        <f t="shared" si="3"/>
        <v>August</v>
      </c>
      <c r="D234" s="3" t="s">
        <v>224</v>
      </c>
      <c r="E234" s="3" t="s">
        <v>51</v>
      </c>
      <c r="F234" s="3" t="s">
        <v>108</v>
      </c>
      <c r="G234" s="3" t="s">
        <v>34</v>
      </c>
      <c r="H234" s="3" t="s">
        <v>62</v>
      </c>
      <c r="I234" s="3" t="s">
        <v>63</v>
      </c>
      <c r="J234" s="5">
        <v>4</v>
      </c>
      <c r="K234" s="3">
        <v>199.99</v>
      </c>
      <c r="L234" s="7">
        <v>0</v>
      </c>
      <c r="M234" s="3" t="s">
        <v>23</v>
      </c>
      <c r="N234" s="3">
        <v>799.96</v>
      </c>
      <c r="O234" s="3">
        <v>0</v>
      </c>
      <c r="P234" s="3">
        <v>799.96</v>
      </c>
    </row>
    <row r="235" spans="1:16" x14ac:dyDescent="0.3">
      <c r="A235" s="3" t="s">
        <v>629</v>
      </c>
      <c r="B235" s="15">
        <v>45963</v>
      </c>
      <c r="C235" s="15" t="str">
        <f t="shared" si="3"/>
        <v>November</v>
      </c>
      <c r="D235" s="3" t="s">
        <v>630</v>
      </c>
      <c r="E235" s="3" t="s">
        <v>32</v>
      </c>
      <c r="F235" s="3" t="s">
        <v>45</v>
      </c>
      <c r="G235" s="3" t="s">
        <v>20</v>
      </c>
      <c r="H235" s="3" t="s">
        <v>62</v>
      </c>
      <c r="I235" s="3" t="s">
        <v>79</v>
      </c>
      <c r="J235" s="5">
        <v>2</v>
      </c>
      <c r="K235" s="3">
        <v>249.99</v>
      </c>
      <c r="L235" s="7">
        <v>0.15</v>
      </c>
      <c r="M235" s="3" t="s">
        <v>23</v>
      </c>
      <c r="N235" s="3">
        <v>499.98</v>
      </c>
      <c r="O235" s="3">
        <v>75</v>
      </c>
      <c r="P235" s="3">
        <v>424.98</v>
      </c>
    </row>
    <row r="236" spans="1:16" x14ac:dyDescent="0.3">
      <c r="A236" s="3" t="s">
        <v>631</v>
      </c>
      <c r="B236" s="15">
        <v>45938</v>
      </c>
      <c r="C236" s="15" t="str">
        <f t="shared" si="3"/>
        <v>October</v>
      </c>
      <c r="D236" s="3" t="s">
        <v>221</v>
      </c>
      <c r="E236" s="3" t="s">
        <v>27</v>
      </c>
      <c r="F236" s="3" t="s">
        <v>123</v>
      </c>
      <c r="G236" s="3" t="s">
        <v>20</v>
      </c>
      <c r="H236" s="3" t="s">
        <v>62</v>
      </c>
      <c r="I236" s="3" t="s">
        <v>249</v>
      </c>
      <c r="J236" s="5">
        <v>1</v>
      </c>
      <c r="K236" s="3">
        <v>49.99</v>
      </c>
      <c r="L236" s="7">
        <v>0</v>
      </c>
      <c r="M236" s="3" t="s">
        <v>47</v>
      </c>
      <c r="N236" s="3">
        <v>49.99</v>
      </c>
      <c r="O236" s="3">
        <v>0</v>
      </c>
      <c r="P236" s="3">
        <v>49.99</v>
      </c>
    </row>
    <row r="237" spans="1:16" x14ac:dyDescent="0.3">
      <c r="A237" s="3" t="s">
        <v>633</v>
      </c>
      <c r="B237" s="15">
        <v>45763</v>
      </c>
      <c r="C237" s="15" t="str">
        <f t="shared" si="3"/>
        <v>April</v>
      </c>
      <c r="D237" s="3" t="s">
        <v>142</v>
      </c>
      <c r="E237" s="3" t="s">
        <v>32</v>
      </c>
      <c r="F237" s="3" t="s">
        <v>33</v>
      </c>
      <c r="G237" s="3" t="s">
        <v>34</v>
      </c>
      <c r="H237" s="3" t="s">
        <v>35</v>
      </c>
      <c r="I237" s="3" t="s">
        <v>134</v>
      </c>
      <c r="J237" s="5">
        <v>1</v>
      </c>
      <c r="K237" s="3">
        <v>139.99</v>
      </c>
      <c r="L237" s="7">
        <v>0.15</v>
      </c>
      <c r="M237" s="3" t="s">
        <v>80</v>
      </c>
      <c r="N237" s="3">
        <v>139.99</v>
      </c>
      <c r="O237" s="3">
        <v>21</v>
      </c>
      <c r="P237" s="3">
        <v>118.99</v>
      </c>
    </row>
    <row r="238" spans="1:16" x14ac:dyDescent="0.3">
      <c r="A238" s="3" t="s">
        <v>635</v>
      </c>
      <c r="B238" s="15">
        <v>45870</v>
      </c>
      <c r="C238" s="15" t="str">
        <f t="shared" si="3"/>
        <v>August</v>
      </c>
      <c r="D238" s="3" t="s">
        <v>86</v>
      </c>
      <c r="E238" s="3" t="s">
        <v>27</v>
      </c>
      <c r="F238" s="3" t="s">
        <v>67</v>
      </c>
      <c r="G238" s="3" t="s">
        <v>20</v>
      </c>
      <c r="H238" s="3" t="s">
        <v>62</v>
      </c>
      <c r="I238" s="3" t="s">
        <v>79</v>
      </c>
      <c r="J238" s="5">
        <v>2</v>
      </c>
      <c r="K238" s="3">
        <v>249.99</v>
      </c>
      <c r="L238" s="7">
        <v>0.1</v>
      </c>
      <c r="M238" s="3" t="s">
        <v>23</v>
      </c>
      <c r="N238" s="3">
        <v>499.98</v>
      </c>
      <c r="O238" s="3">
        <v>50</v>
      </c>
      <c r="P238" s="3">
        <v>449.98</v>
      </c>
    </row>
    <row r="239" spans="1:16" x14ac:dyDescent="0.3">
      <c r="A239" s="3" t="s">
        <v>636</v>
      </c>
      <c r="B239" s="15">
        <v>45769</v>
      </c>
      <c r="C239" s="15" t="str">
        <f t="shared" si="3"/>
        <v>April</v>
      </c>
      <c r="D239" s="3" t="s">
        <v>139</v>
      </c>
      <c r="E239" s="3" t="s">
        <v>72</v>
      </c>
      <c r="F239" s="3" t="s">
        <v>152</v>
      </c>
      <c r="G239" s="3" t="s">
        <v>20</v>
      </c>
      <c r="H239" s="3" t="s">
        <v>57</v>
      </c>
      <c r="I239" s="3" t="s">
        <v>300</v>
      </c>
      <c r="J239" s="5">
        <v>1</v>
      </c>
      <c r="K239" s="3">
        <v>179.99</v>
      </c>
      <c r="L239" s="7">
        <v>0.15</v>
      </c>
      <c r="M239" s="3" t="s">
        <v>80</v>
      </c>
      <c r="N239" s="3">
        <v>179.99</v>
      </c>
      <c r="O239" s="3">
        <v>27</v>
      </c>
      <c r="P239" s="3">
        <v>152.99</v>
      </c>
    </row>
    <row r="240" spans="1:16" x14ac:dyDescent="0.3">
      <c r="A240" s="3" t="s">
        <v>638</v>
      </c>
      <c r="B240" s="15">
        <v>45899</v>
      </c>
      <c r="C240" s="15" t="str">
        <f t="shared" si="3"/>
        <v>August</v>
      </c>
      <c r="D240" s="3" t="s">
        <v>375</v>
      </c>
      <c r="E240" s="3" t="s">
        <v>27</v>
      </c>
      <c r="F240" s="3" t="s">
        <v>123</v>
      </c>
      <c r="G240" s="3" t="s">
        <v>34</v>
      </c>
      <c r="H240" s="3" t="s">
        <v>74</v>
      </c>
      <c r="I240" s="3" t="s">
        <v>75</v>
      </c>
      <c r="J240" s="5">
        <v>1</v>
      </c>
      <c r="K240" s="3">
        <v>299.99</v>
      </c>
      <c r="L240" s="7">
        <v>0</v>
      </c>
      <c r="M240" s="3" t="s">
        <v>23</v>
      </c>
      <c r="N240" s="3">
        <v>299.99</v>
      </c>
      <c r="O240" s="3">
        <v>0</v>
      </c>
      <c r="P240" s="3">
        <v>299.99</v>
      </c>
    </row>
    <row r="241" spans="1:16" x14ac:dyDescent="0.3">
      <c r="A241" s="3" t="s">
        <v>639</v>
      </c>
      <c r="B241" s="15">
        <v>45851</v>
      </c>
      <c r="C241" s="15" t="str">
        <f t="shared" si="3"/>
        <v>July</v>
      </c>
      <c r="D241" s="3" t="s">
        <v>594</v>
      </c>
      <c r="E241" s="3" t="s">
        <v>72</v>
      </c>
      <c r="F241" s="3" t="s">
        <v>152</v>
      </c>
      <c r="G241" s="3" t="s">
        <v>20</v>
      </c>
      <c r="H241" s="3" t="s">
        <v>35</v>
      </c>
      <c r="I241" s="3" t="s">
        <v>41</v>
      </c>
      <c r="J241" s="5">
        <v>4</v>
      </c>
      <c r="K241" s="3">
        <v>104.99</v>
      </c>
      <c r="L241" s="7">
        <v>0.05</v>
      </c>
      <c r="M241" s="3" t="s">
        <v>47</v>
      </c>
      <c r="N241" s="3">
        <v>419.96</v>
      </c>
      <c r="O241" s="3">
        <v>21</v>
      </c>
      <c r="P241" s="3">
        <v>398.96</v>
      </c>
    </row>
    <row r="242" spans="1:16" x14ac:dyDescent="0.3">
      <c r="A242" s="3" t="s">
        <v>641</v>
      </c>
      <c r="B242" s="15">
        <v>45772</v>
      </c>
      <c r="C242" s="15" t="str">
        <f t="shared" si="3"/>
        <v>April</v>
      </c>
      <c r="D242" s="3" t="s">
        <v>643</v>
      </c>
      <c r="E242" s="3" t="s">
        <v>51</v>
      </c>
      <c r="F242" s="3" t="s">
        <v>52</v>
      </c>
      <c r="G242" s="3" t="s">
        <v>20</v>
      </c>
      <c r="H242" s="3" t="s">
        <v>57</v>
      </c>
      <c r="I242" s="3" t="s">
        <v>300</v>
      </c>
      <c r="J242" s="5">
        <v>5</v>
      </c>
      <c r="K242" s="3">
        <v>179.99</v>
      </c>
      <c r="L242" s="7">
        <v>0</v>
      </c>
      <c r="M242" s="3" t="s">
        <v>80</v>
      </c>
      <c r="N242" s="3">
        <v>899.95</v>
      </c>
      <c r="O242" s="3">
        <v>0</v>
      </c>
      <c r="P242" s="3">
        <v>899.95</v>
      </c>
    </row>
    <row r="243" spans="1:16" x14ac:dyDescent="0.3">
      <c r="A243" s="3" t="s">
        <v>644</v>
      </c>
      <c r="B243" s="15">
        <v>45775</v>
      </c>
      <c r="C243" s="15" t="str">
        <f t="shared" si="3"/>
        <v>April</v>
      </c>
      <c r="D243" s="3" t="s">
        <v>117</v>
      </c>
      <c r="E243" s="3" t="s">
        <v>32</v>
      </c>
      <c r="F243" s="3" t="s">
        <v>33</v>
      </c>
      <c r="G243" s="3" t="s">
        <v>34</v>
      </c>
      <c r="H243" s="3" t="s">
        <v>57</v>
      </c>
      <c r="I243" s="3" t="s">
        <v>130</v>
      </c>
      <c r="J243" s="5">
        <v>5</v>
      </c>
      <c r="K243" s="3">
        <v>109.99</v>
      </c>
      <c r="L243" s="7">
        <v>0.05</v>
      </c>
      <c r="M243" s="3" t="s">
        <v>37</v>
      </c>
      <c r="N243" s="3">
        <v>549.95000000000005</v>
      </c>
      <c r="O243" s="3">
        <v>27.5</v>
      </c>
      <c r="P243" s="3">
        <v>522.45000000000005</v>
      </c>
    </row>
    <row r="244" spans="1:16" x14ac:dyDescent="0.3">
      <c r="A244" s="3" t="s">
        <v>646</v>
      </c>
      <c r="B244" s="15">
        <v>45872</v>
      </c>
      <c r="C244" s="15" t="str">
        <f t="shared" si="3"/>
        <v>August</v>
      </c>
      <c r="D244" s="3" t="s">
        <v>494</v>
      </c>
      <c r="E244" s="3" t="s">
        <v>51</v>
      </c>
      <c r="F244" s="3" t="s">
        <v>108</v>
      </c>
      <c r="G244" s="3" t="s">
        <v>20</v>
      </c>
      <c r="H244" s="3" t="s">
        <v>35</v>
      </c>
      <c r="I244" s="3" t="s">
        <v>134</v>
      </c>
      <c r="J244" s="5">
        <v>1</v>
      </c>
      <c r="K244" s="3">
        <v>139.99</v>
      </c>
      <c r="L244" s="7">
        <v>0.15</v>
      </c>
      <c r="M244" s="3" t="s">
        <v>47</v>
      </c>
      <c r="N244" s="3">
        <v>139.99</v>
      </c>
      <c r="O244" s="3">
        <v>21</v>
      </c>
      <c r="P244" s="3">
        <v>118.99</v>
      </c>
    </row>
    <row r="245" spans="1:16" x14ac:dyDescent="0.3">
      <c r="A245" s="3" t="s">
        <v>647</v>
      </c>
      <c r="B245" s="15">
        <v>45964</v>
      </c>
      <c r="C245" s="15" t="str">
        <f t="shared" si="3"/>
        <v>November</v>
      </c>
      <c r="D245" s="3" t="s">
        <v>195</v>
      </c>
      <c r="E245" s="3" t="s">
        <v>27</v>
      </c>
      <c r="F245" s="3" t="s">
        <v>123</v>
      </c>
      <c r="G245" s="3" t="s">
        <v>20</v>
      </c>
      <c r="H245" s="3" t="s">
        <v>35</v>
      </c>
      <c r="I245" s="3" t="s">
        <v>199</v>
      </c>
      <c r="J245" s="5">
        <v>1</v>
      </c>
      <c r="K245" s="3">
        <v>99.99</v>
      </c>
      <c r="L245" s="7">
        <v>0.05</v>
      </c>
      <c r="M245" s="3" t="s">
        <v>47</v>
      </c>
      <c r="N245" s="3">
        <v>99.99</v>
      </c>
      <c r="O245" s="3">
        <v>5</v>
      </c>
      <c r="P245" s="3">
        <v>94.99</v>
      </c>
    </row>
    <row r="246" spans="1:16" x14ac:dyDescent="0.3">
      <c r="A246" s="3" t="s">
        <v>649</v>
      </c>
      <c r="B246" s="15">
        <v>45686</v>
      </c>
      <c r="C246" s="15" t="str">
        <f t="shared" si="3"/>
        <v>January</v>
      </c>
      <c r="D246" s="3" t="s">
        <v>480</v>
      </c>
      <c r="E246" s="3" t="s">
        <v>72</v>
      </c>
      <c r="F246" s="3" t="s">
        <v>73</v>
      </c>
      <c r="G246" s="3" t="s">
        <v>34</v>
      </c>
      <c r="H246" s="3" t="s">
        <v>21</v>
      </c>
      <c r="I246" s="3" t="s">
        <v>46</v>
      </c>
      <c r="J246" s="5">
        <v>5</v>
      </c>
      <c r="K246" s="3">
        <v>119.99</v>
      </c>
      <c r="L246" s="7">
        <v>0</v>
      </c>
      <c r="M246" s="3" t="s">
        <v>47</v>
      </c>
      <c r="N246" s="3">
        <v>599.95000000000005</v>
      </c>
      <c r="O246" s="3">
        <v>0</v>
      </c>
      <c r="P246" s="3">
        <v>599.95000000000005</v>
      </c>
    </row>
    <row r="247" spans="1:16" x14ac:dyDescent="0.3">
      <c r="A247" s="3" t="s">
        <v>651</v>
      </c>
      <c r="B247" s="15">
        <v>45731</v>
      </c>
      <c r="C247" s="15" t="str">
        <f t="shared" si="3"/>
        <v>March</v>
      </c>
      <c r="D247" s="3" t="s">
        <v>129</v>
      </c>
      <c r="E247" s="3" t="s">
        <v>32</v>
      </c>
      <c r="F247" s="3" t="s">
        <v>33</v>
      </c>
      <c r="G247" s="3" t="s">
        <v>20</v>
      </c>
      <c r="H247" s="3" t="s">
        <v>62</v>
      </c>
      <c r="I247" s="3" t="s">
        <v>249</v>
      </c>
      <c r="J247" s="5">
        <v>2</v>
      </c>
      <c r="K247" s="3">
        <v>49.99</v>
      </c>
      <c r="L247" s="7">
        <v>0</v>
      </c>
      <c r="M247" s="3" t="s">
        <v>23</v>
      </c>
      <c r="N247" s="3">
        <v>99.98</v>
      </c>
      <c r="O247" s="3">
        <v>0</v>
      </c>
      <c r="P247" s="3">
        <v>99.98</v>
      </c>
    </row>
    <row r="248" spans="1:16" x14ac:dyDescent="0.3">
      <c r="A248" s="3" t="s">
        <v>652</v>
      </c>
      <c r="B248" s="15">
        <v>45747</v>
      </c>
      <c r="C248" s="15" t="str">
        <f t="shared" si="3"/>
        <v>March</v>
      </c>
      <c r="D248" s="3" t="s">
        <v>654</v>
      </c>
      <c r="E248" s="3" t="s">
        <v>27</v>
      </c>
      <c r="F248" s="3" t="s">
        <v>123</v>
      </c>
      <c r="G248" s="3" t="s">
        <v>34</v>
      </c>
      <c r="H248" s="3" t="s">
        <v>57</v>
      </c>
      <c r="I248" s="3" t="s">
        <v>189</v>
      </c>
      <c r="J248" s="5">
        <v>5</v>
      </c>
      <c r="K248" s="3">
        <v>119.99</v>
      </c>
      <c r="L248" s="7">
        <v>0.15</v>
      </c>
      <c r="M248" s="3" t="s">
        <v>23</v>
      </c>
      <c r="N248" s="3">
        <v>599.95000000000005</v>
      </c>
      <c r="O248" s="3">
        <v>89.99</v>
      </c>
      <c r="P248" s="3">
        <v>509.96</v>
      </c>
    </row>
    <row r="249" spans="1:16" x14ac:dyDescent="0.3">
      <c r="A249" s="3" t="s">
        <v>655</v>
      </c>
      <c r="B249" s="15">
        <v>45867</v>
      </c>
      <c r="C249" s="15" t="str">
        <f t="shared" si="3"/>
        <v>July</v>
      </c>
      <c r="D249" s="3" t="s">
        <v>580</v>
      </c>
      <c r="E249" s="3" t="s">
        <v>72</v>
      </c>
      <c r="F249" s="3" t="s">
        <v>152</v>
      </c>
      <c r="G249" s="3" t="s">
        <v>34</v>
      </c>
      <c r="H249" s="3" t="s">
        <v>21</v>
      </c>
      <c r="I249" s="3" t="s">
        <v>87</v>
      </c>
      <c r="J249" s="5">
        <v>6</v>
      </c>
      <c r="K249" s="3">
        <v>149.99</v>
      </c>
      <c r="L249" s="7">
        <v>0.05</v>
      </c>
      <c r="M249" s="3" t="s">
        <v>23</v>
      </c>
      <c r="N249" s="3">
        <v>899.94</v>
      </c>
      <c r="O249" s="3">
        <v>45</v>
      </c>
      <c r="P249" s="3">
        <v>854.94</v>
      </c>
    </row>
    <row r="250" spans="1:16" x14ac:dyDescent="0.3">
      <c r="A250" s="3" t="s">
        <v>656</v>
      </c>
      <c r="B250" s="15">
        <v>45731</v>
      </c>
      <c r="C250" s="15" t="str">
        <f t="shared" si="3"/>
        <v>March</v>
      </c>
      <c r="D250" s="3" t="s">
        <v>657</v>
      </c>
      <c r="E250" s="3" t="s">
        <v>51</v>
      </c>
      <c r="F250" s="3" t="s">
        <v>108</v>
      </c>
      <c r="G250" s="3" t="s">
        <v>34</v>
      </c>
      <c r="H250" s="3" t="s">
        <v>35</v>
      </c>
      <c r="I250" s="3" t="s">
        <v>36</v>
      </c>
      <c r="J250" s="5">
        <v>3</v>
      </c>
      <c r="K250" s="3">
        <v>79.989999999999995</v>
      </c>
      <c r="L250" s="7">
        <v>0.15</v>
      </c>
      <c r="M250" s="3" t="s">
        <v>80</v>
      </c>
      <c r="N250" s="3">
        <v>239.97</v>
      </c>
      <c r="O250" s="3">
        <v>36</v>
      </c>
      <c r="P250" s="3">
        <v>203.97</v>
      </c>
    </row>
    <row r="251" spans="1:16" x14ac:dyDescent="0.3">
      <c r="A251" s="3" t="s">
        <v>658</v>
      </c>
      <c r="B251" s="15">
        <v>45788</v>
      </c>
      <c r="C251" s="15" t="str">
        <f t="shared" si="3"/>
        <v>May</v>
      </c>
      <c r="D251" s="3" t="s">
        <v>659</v>
      </c>
      <c r="E251" s="3" t="s">
        <v>72</v>
      </c>
      <c r="F251" s="3" t="s">
        <v>73</v>
      </c>
      <c r="G251" s="3" t="s">
        <v>34</v>
      </c>
      <c r="H251" s="3" t="s">
        <v>62</v>
      </c>
      <c r="I251" s="3" t="s">
        <v>79</v>
      </c>
      <c r="J251" s="5">
        <v>4</v>
      </c>
      <c r="K251" s="3">
        <v>249.99</v>
      </c>
      <c r="L251" s="7">
        <v>0</v>
      </c>
      <c r="M251" s="3" t="s">
        <v>80</v>
      </c>
      <c r="N251" s="3">
        <v>999.96</v>
      </c>
      <c r="O251" s="3">
        <v>0</v>
      </c>
      <c r="P251" s="3">
        <v>999.96</v>
      </c>
    </row>
    <row r="252" spans="1:16" x14ac:dyDescent="0.3">
      <c r="A252" s="3" t="s">
        <v>660</v>
      </c>
      <c r="B252" s="15">
        <v>45684</v>
      </c>
      <c r="C252" s="15" t="str">
        <f t="shared" si="3"/>
        <v>January</v>
      </c>
      <c r="D252" s="3" t="s">
        <v>412</v>
      </c>
      <c r="E252" s="3" t="s">
        <v>27</v>
      </c>
      <c r="F252" s="3" t="s">
        <v>123</v>
      </c>
      <c r="G252" s="3" t="s">
        <v>34</v>
      </c>
      <c r="H252" s="3" t="s">
        <v>74</v>
      </c>
      <c r="I252" s="3" t="s">
        <v>75</v>
      </c>
      <c r="J252" s="5">
        <v>6</v>
      </c>
      <c r="K252" s="3">
        <v>299.99</v>
      </c>
      <c r="L252" s="7">
        <v>0</v>
      </c>
      <c r="M252" s="3" t="s">
        <v>80</v>
      </c>
      <c r="N252" s="3">
        <v>1799.94</v>
      </c>
      <c r="O252" s="3">
        <v>0</v>
      </c>
      <c r="P252" s="3">
        <v>1799.94</v>
      </c>
    </row>
    <row r="253" spans="1:16" x14ac:dyDescent="0.3">
      <c r="A253" s="3" t="s">
        <v>661</v>
      </c>
      <c r="B253" s="15">
        <v>45828</v>
      </c>
      <c r="C253" s="15" t="str">
        <f t="shared" si="3"/>
        <v>June</v>
      </c>
      <c r="D253" s="3" t="s">
        <v>663</v>
      </c>
      <c r="E253" s="3" t="s">
        <v>32</v>
      </c>
      <c r="F253" s="3" t="s">
        <v>45</v>
      </c>
      <c r="G253" s="3" t="s">
        <v>20</v>
      </c>
      <c r="H253" s="3" t="s">
        <v>21</v>
      </c>
      <c r="I253" s="3" t="s">
        <v>68</v>
      </c>
      <c r="J253" s="5">
        <v>4</v>
      </c>
      <c r="K253" s="3">
        <v>129.99</v>
      </c>
      <c r="L253" s="7">
        <v>0</v>
      </c>
      <c r="M253" s="3" t="s">
        <v>47</v>
      </c>
      <c r="N253" s="3">
        <v>519.96</v>
      </c>
      <c r="O253" s="3">
        <v>0</v>
      </c>
      <c r="P253" s="3">
        <v>519.96</v>
      </c>
    </row>
    <row r="254" spans="1:16" x14ac:dyDescent="0.3">
      <c r="A254" s="3" t="s">
        <v>664</v>
      </c>
      <c r="B254" s="15">
        <v>46018</v>
      </c>
      <c r="C254" s="15" t="str">
        <f t="shared" si="3"/>
        <v>December</v>
      </c>
      <c r="D254" s="3" t="s">
        <v>659</v>
      </c>
      <c r="E254" s="3" t="s">
        <v>72</v>
      </c>
      <c r="F254" s="3" t="s">
        <v>73</v>
      </c>
      <c r="G254" s="3" t="s">
        <v>34</v>
      </c>
      <c r="H254" s="3" t="s">
        <v>35</v>
      </c>
      <c r="I254" s="3" t="s">
        <v>199</v>
      </c>
      <c r="J254" s="5">
        <v>6</v>
      </c>
      <c r="K254" s="3">
        <v>99.99</v>
      </c>
      <c r="L254" s="7">
        <v>0.1</v>
      </c>
      <c r="M254" s="3" t="s">
        <v>47</v>
      </c>
      <c r="N254" s="3">
        <v>599.94000000000005</v>
      </c>
      <c r="O254" s="3">
        <v>59.99</v>
      </c>
      <c r="P254" s="3">
        <v>539.95000000000005</v>
      </c>
    </row>
    <row r="255" spans="1:16" x14ac:dyDescent="0.3">
      <c r="A255" s="3" t="s">
        <v>666</v>
      </c>
      <c r="B255" s="15">
        <v>45990</v>
      </c>
      <c r="C255" s="15" t="str">
        <f t="shared" si="3"/>
        <v>November</v>
      </c>
      <c r="D255" s="3" t="s">
        <v>40</v>
      </c>
      <c r="E255" s="3" t="s">
        <v>18</v>
      </c>
      <c r="F255" s="3" t="s">
        <v>56</v>
      </c>
      <c r="G255" s="3" t="s">
        <v>34</v>
      </c>
      <c r="H255" s="3" t="s">
        <v>62</v>
      </c>
      <c r="I255" s="3" t="s">
        <v>249</v>
      </c>
      <c r="J255" s="5">
        <v>4</v>
      </c>
      <c r="K255" s="3">
        <v>49.99</v>
      </c>
      <c r="L255" s="7">
        <v>0.1</v>
      </c>
      <c r="M255" s="3" t="s">
        <v>37</v>
      </c>
      <c r="N255" s="3">
        <v>199.96</v>
      </c>
      <c r="O255" s="3">
        <v>20</v>
      </c>
      <c r="P255" s="3">
        <v>179.96</v>
      </c>
    </row>
    <row r="256" spans="1:16" x14ac:dyDescent="0.3">
      <c r="A256" s="3" t="s">
        <v>668</v>
      </c>
      <c r="B256" s="15">
        <v>45821</v>
      </c>
      <c r="C256" s="15" t="str">
        <f t="shared" si="3"/>
        <v>June</v>
      </c>
      <c r="D256" s="3" t="s">
        <v>206</v>
      </c>
      <c r="E256" s="3" t="s">
        <v>72</v>
      </c>
      <c r="F256" s="3" t="s">
        <v>73</v>
      </c>
      <c r="G256" s="3" t="s">
        <v>20</v>
      </c>
      <c r="H256" s="3" t="s">
        <v>57</v>
      </c>
      <c r="I256" s="3" t="s">
        <v>130</v>
      </c>
      <c r="J256" s="5">
        <v>6</v>
      </c>
      <c r="K256" s="3">
        <v>109.99</v>
      </c>
      <c r="L256" s="7">
        <v>0.05</v>
      </c>
      <c r="M256" s="3" t="s">
        <v>37</v>
      </c>
      <c r="N256" s="3">
        <v>659.94</v>
      </c>
      <c r="O256" s="3">
        <v>33</v>
      </c>
      <c r="P256" s="3">
        <v>626.94000000000005</v>
      </c>
    </row>
    <row r="257" spans="1:16" x14ac:dyDescent="0.3">
      <c r="A257" s="3" t="s">
        <v>669</v>
      </c>
      <c r="B257" s="15">
        <v>45732</v>
      </c>
      <c r="C257" s="15" t="str">
        <f t="shared" si="3"/>
        <v>March</v>
      </c>
      <c r="D257" s="3" t="s">
        <v>92</v>
      </c>
      <c r="E257" s="3" t="s">
        <v>27</v>
      </c>
      <c r="F257" s="3" t="s">
        <v>123</v>
      </c>
      <c r="G257" s="3" t="s">
        <v>34</v>
      </c>
      <c r="H257" s="3" t="s">
        <v>57</v>
      </c>
      <c r="I257" s="3" t="s">
        <v>130</v>
      </c>
      <c r="J257" s="5">
        <v>2</v>
      </c>
      <c r="K257" s="3">
        <v>109.99</v>
      </c>
      <c r="L257" s="7">
        <v>0.15</v>
      </c>
      <c r="M257" s="3" t="s">
        <v>23</v>
      </c>
      <c r="N257" s="3">
        <v>219.98</v>
      </c>
      <c r="O257" s="3">
        <v>33</v>
      </c>
      <c r="P257" s="3">
        <v>186.98</v>
      </c>
    </row>
    <row r="258" spans="1:16" x14ac:dyDescent="0.3">
      <c r="A258" s="3" t="s">
        <v>671</v>
      </c>
      <c r="B258" s="15">
        <v>45949</v>
      </c>
      <c r="C258" s="15" t="str">
        <f t="shared" ref="C258:C321" si="4">TEXT(B258,"mmmm")</f>
        <v>October</v>
      </c>
      <c r="D258" s="3" t="s">
        <v>643</v>
      </c>
      <c r="E258" s="3" t="s">
        <v>51</v>
      </c>
      <c r="F258" s="3" t="s">
        <v>52</v>
      </c>
      <c r="G258" s="3" t="s">
        <v>20</v>
      </c>
      <c r="H258" s="3" t="s">
        <v>57</v>
      </c>
      <c r="I258" s="3" t="s">
        <v>58</v>
      </c>
      <c r="J258" s="5">
        <v>2</v>
      </c>
      <c r="K258" s="3">
        <v>89.99</v>
      </c>
      <c r="L258" s="7">
        <v>0.05</v>
      </c>
      <c r="M258" s="3" t="s">
        <v>23</v>
      </c>
      <c r="N258" s="3">
        <v>179.98</v>
      </c>
      <c r="O258" s="3">
        <v>9</v>
      </c>
      <c r="P258" s="3">
        <v>170.98</v>
      </c>
    </row>
    <row r="259" spans="1:16" x14ac:dyDescent="0.3">
      <c r="A259" s="3" t="s">
        <v>672</v>
      </c>
      <c r="B259" s="15">
        <v>45909</v>
      </c>
      <c r="C259" s="15" t="str">
        <f t="shared" si="4"/>
        <v>September</v>
      </c>
      <c r="D259" s="3" t="s">
        <v>346</v>
      </c>
      <c r="E259" s="3" t="s">
        <v>18</v>
      </c>
      <c r="F259" s="3" t="s">
        <v>56</v>
      </c>
      <c r="G259" s="3" t="s">
        <v>20</v>
      </c>
      <c r="H259" s="3" t="s">
        <v>62</v>
      </c>
      <c r="I259" s="3" t="s">
        <v>249</v>
      </c>
      <c r="J259" s="5">
        <v>6</v>
      </c>
      <c r="K259" s="3">
        <v>49.99</v>
      </c>
      <c r="L259" s="7">
        <v>0.15</v>
      </c>
      <c r="M259" s="3" t="s">
        <v>37</v>
      </c>
      <c r="N259" s="3">
        <v>299.94</v>
      </c>
      <c r="O259" s="3">
        <v>44.99</v>
      </c>
      <c r="P259" s="3">
        <v>254.95</v>
      </c>
    </row>
    <row r="260" spans="1:16" x14ac:dyDescent="0.3">
      <c r="A260" s="3" t="s">
        <v>674</v>
      </c>
      <c r="B260" s="15">
        <v>45986</v>
      </c>
      <c r="C260" s="15" t="str">
        <f t="shared" si="4"/>
        <v>November</v>
      </c>
      <c r="D260" s="3" t="s">
        <v>248</v>
      </c>
      <c r="E260" s="3" t="s">
        <v>32</v>
      </c>
      <c r="F260" s="3" t="s">
        <v>33</v>
      </c>
      <c r="G260" s="3" t="s">
        <v>20</v>
      </c>
      <c r="H260" s="3" t="s">
        <v>35</v>
      </c>
      <c r="I260" s="3" t="s">
        <v>41</v>
      </c>
      <c r="J260" s="5">
        <v>2</v>
      </c>
      <c r="K260" s="3">
        <v>104.99</v>
      </c>
      <c r="L260" s="7">
        <v>0.1</v>
      </c>
      <c r="M260" s="3" t="s">
        <v>80</v>
      </c>
      <c r="N260" s="3">
        <v>209.98</v>
      </c>
      <c r="O260" s="3">
        <v>21</v>
      </c>
      <c r="P260" s="3">
        <v>188.98</v>
      </c>
    </row>
    <row r="261" spans="1:16" x14ac:dyDescent="0.3">
      <c r="A261" s="3" t="s">
        <v>675</v>
      </c>
      <c r="B261" s="15">
        <v>45776</v>
      </c>
      <c r="C261" s="15" t="str">
        <f t="shared" si="4"/>
        <v>April</v>
      </c>
      <c r="D261" s="3" t="s">
        <v>337</v>
      </c>
      <c r="E261" s="3" t="s">
        <v>27</v>
      </c>
      <c r="F261" s="3" t="s">
        <v>67</v>
      </c>
      <c r="G261" s="3" t="s">
        <v>20</v>
      </c>
      <c r="H261" s="3" t="s">
        <v>21</v>
      </c>
      <c r="I261" s="3" t="s">
        <v>22</v>
      </c>
      <c r="J261" s="5">
        <v>2</v>
      </c>
      <c r="K261" s="3">
        <v>89.99</v>
      </c>
      <c r="L261" s="7">
        <v>0.15</v>
      </c>
      <c r="M261" s="3" t="s">
        <v>80</v>
      </c>
      <c r="N261" s="3">
        <v>179.98</v>
      </c>
      <c r="O261" s="3">
        <v>27</v>
      </c>
      <c r="P261" s="3">
        <v>152.97999999999999</v>
      </c>
    </row>
    <row r="262" spans="1:16" x14ac:dyDescent="0.3">
      <c r="A262" s="3" t="s">
        <v>676</v>
      </c>
      <c r="B262" s="15">
        <v>45999</v>
      </c>
      <c r="C262" s="15" t="str">
        <f t="shared" si="4"/>
        <v>December</v>
      </c>
      <c r="D262" s="3" t="s">
        <v>562</v>
      </c>
      <c r="E262" s="3" t="s">
        <v>18</v>
      </c>
      <c r="F262" s="3" t="s">
        <v>19</v>
      </c>
      <c r="G262" s="3" t="s">
        <v>34</v>
      </c>
      <c r="H262" s="3" t="s">
        <v>35</v>
      </c>
      <c r="I262" s="3" t="s">
        <v>36</v>
      </c>
      <c r="J262" s="5">
        <v>5</v>
      </c>
      <c r="K262" s="3">
        <v>79.989999999999995</v>
      </c>
      <c r="L262" s="7">
        <v>0.15</v>
      </c>
      <c r="M262" s="3" t="s">
        <v>23</v>
      </c>
      <c r="N262" s="3">
        <v>399.95</v>
      </c>
      <c r="O262" s="3">
        <v>59.99</v>
      </c>
      <c r="P262" s="3">
        <v>339.96</v>
      </c>
    </row>
    <row r="263" spans="1:16" x14ac:dyDescent="0.3">
      <c r="A263" s="3" t="s">
        <v>677</v>
      </c>
      <c r="B263" s="15">
        <v>45929</v>
      </c>
      <c r="C263" s="15" t="str">
        <f t="shared" si="4"/>
        <v>September</v>
      </c>
      <c r="D263" s="3" t="s">
        <v>265</v>
      </c>
      <c r="E263" s="3" t="s">
        <v>32</v>
      </c>
      <c r="F263" s="3" t="s">
        <v>33</v>
      </c>
      <c r="G263" s="3" t="s">
        <v>34</v>
      </c>
      <c r="H263" s="3" t="s">
        <v>21</v>
      </c>
      <c r="I263" s="3" t="s">
        <v>22</v>
      </c>
      <c r="J263" s="5">
        <v>1</v>
      </c>
      <c r="K263" s="3">
        <v>89.99</v>
      </c>
      <c r="L263" s="7">
        <v>0</v>
      </c>
      <c r="M263" s="3" t="s">
        <v>37</v>
      </c>
      <c r="N263" s="3">
        <v>89.99</v>
      </c>
      <c r="O263" s="3">
        <v>0</v>
      </c>
      <c r="P263" s="3">
        <v>89.99</v>
      </c>
    </row>
    <row r="264" spans="1:16" x14ac:dyDescent="0.3">
      <c r="A264" s="3" t="s">
        <v>678</v>
      </c>
      <c r="B264" s="15">
        <v>45734</v>
      </c>
      <c r="C264" s="15" t="str">
        <f t="shared" si="4"/>
        <v>March</v>
      </c>
      <c r="D264" s="3" t="s">
        <v>258</v>
      </c>
      <c r="E264" s="3" t="s">
        <v>51</v>
      </c>
      <c r="F264" s="3" t="s">
        <v>108</v>
      </c>
      <c r="G264" s="3" t="s">
        <v>20</v>
      </c>
      <c r="H264" s="3" t="s">
        <v>21</v>
      </c>
      <c r="I264" s="3" t="s">
        <v>46</v>
      </c>
      <c r="J264" s="5">
        <v>1</v>
      </c>
      <c r="K264" s="3">
        <v>119.99</v>
      </c>
      <c r="L264" s="7">
        <v>0.1</v>
      </c>
      <c r="M264" s="3" t="s">
        <v>37</v>
      </c>
      <c r="N264" s="3">
        <v>119.99</v>
      </c>
      <c r="O264" s="3">
        <v>12</v>
      </c>
      <c r="P264" s="3">
        <v>107.99</v>
      </c>
    </row>
    <row r="265" spans="1:16" x14ac:dyDescent="0.3">
      <c r="A265" s="3" t="s">
        <v>680</v>
      </c>
      <c r="B265" s="15">
        <v>45893</v>
      </c>
      <c r="C265" s="15" t="str">
        <f t="shared" si="4"/>
        <v>August</v>
      </c>
      <c r="D265" s="3" t="s">
        <v>415</v>
      </c>
      <c r="E265" s="3" t="s">
        <v>72</v>
      </c>
      <c r="F265" s="3" t="s">
        <v>73</v>
      </c>
      <c r="G265" s="3" t="s">
        <v>20</v>
      </c>
      <c r="H265" s="3" t="s">
        <v>57</v>
      </c>
      <c r="I265" s="3" t="s">
        <v>189</v>
      </c>
      <c r="J265" s="5">
        <v>3</v>
      </c>
      <c r="K265" s="3">
        <v>119.99</v>
      </c>
      <c r="L265" s="7">
        <v>0.05</v>
      </c>
      <c r="M265" s="3" t="s">
        <v>47</v>
      </c>
      <c r="N265" s="3">
        <v>359.97</v>
      </c>
      <c r="O265" s="3">
        <v>18</v>
      </c>
      <c r="P265" s="3">
        <v>341.97</v>
      </c>
    </row>
    <row r="266" spans="1:16" x14ac:dyDescent="0.3">
      <c r="A266" s="3" t="s">
        <v>681</v>
      </c>
      <c r="B266" s="15">
        <v>45851</v>
      </c>
      <c r="C266" s="15" t="str">
        <f t="shared" si="4"/>
        <v>July</v>
      </c>
      <c r="D266" s="3" t="s">
        <v>188</v>
      </c>
      <c r="E266" s="3" t="s">
        <v>27</v>
      </c>
      <c r="F266" s="3" t="s">
        <v>28</v>
      </c>
      <c r="G266" s="3" t="s">
        <v>34</v>
      </c>
      <c r="H266" s="3" t="s">
        <v>57</v>
      </c>
      <c r="I266" s="3" t="s">
        <v>300</v>
      </c>
      <c r="J266" s="5">
        <v>4</v>
      </c>
      <c r="K266" s="3">
        <v>179.99</v>
      </c>
      <c r="L266" s="7">
        <v>0.05</v>
      </c>
      <c r="M266" s="3" t="s">
        <v>80</v>
      </c>
      <c r="N266" s="3">
        <v>719.96</v>
      </c>
      <c r="O266" s="3">
        <v>36</v>
      </c>
      <c r="P266" s="3">
        <v>683.96</v>
      </c>
    </row>
    <row r="267" spans="1:16" x14ac:dyDescent="0.3">
      <c r="A267" s="3" t="s">
        <v>682</v>
      </c>
      <c r="B267" s="15">
        <v>45827</v>
      </c>
      <c r="C267" s="15" t="str">
        <f t="shared" si="4"/>
        <v>June</v>
      </c>
      <c r="D267" s="3" t="s">
        <v>415</v>
      </c>
      <c r="E267" s="3" t="s">
        <v>27</v>
      </c>
      <c r="F267" s="3" t="s">
        <v>67</v>
      </c>
      <c r="G267" s="3" t="s">
        <v>20</v>
      </c>
      <c r="H267" s="3" t="s">
        <v>21</v>
      </c>
      <c r="I267" s="3" t="s">
        <v>68</v>
      </c>
      <c r="J267" s="5">
        <v>4</v>
      </c>
      <c r="K267" s="3">
        <v>129.99</v>
      </c>
      <c r="L267" s="7">
        <v>0.15</v>
      </c>
      <c r="M267" s="3" t="s">
        <v>80</v>
      </c>
      <c r="N267" s="3">
        <v>519.96</v>
      </c>
      <c r="O267" s="3">
        <v>77.989999999999995</v>
      </c>
      <c r="P267" s="3">
        <v>441.97</v>
      </c>
    </row>
    <row r="268" spans="1:16" x14ac:dyDescent="0.3">
      <c r="A268" s="3" t="s">
        <v>683</v>
      </c>
      <c r="B268" s="15">
        <v>45696</v>
      </c>
      <c r="C268" s="15" t="str">
        <f t="shared" si="4"/>
        <v>February</v>
      </c>
      <c r="D268" s="3" t="s">
        <v>685</v>
      </c>
      <c r="E268" s="3" t="s">
        <v>32</v>
      </c>
      <c r="F268" s="3" t="s">
        <v>33</v>
      </c>
      <c r="G268" s="3" t="s">
        <v>34</v>
      </c>
      <c r="H268" s="3" t="s">
        <v>35</v>
      </c>
      <c r="I268" s="3" t="s">
        <v>41</v>
      </c>
      <c r="J268" s="5">
        <v>3</v>
      </c>
      <c r="K268" s="3">
        <v>104.99</v>
      </c>
      <c r="L268" s="7">
        <v>0</v>
      </c>
      <c r="M268" s="3" t="s">
        <v>80</v>
      </c>
      <c r="N268" s="3">
        <v>314.97000000000003</v>
      </c>
      <c r="O268" s="3">
        <v>0</v>
      </c>
      <c r="P268" s="3">
        <v>314.97000000000003</v>
      </c>
    </row>
    <row r="269" spans="1:16" x14ac:dyDescent="0.3">
      <c r="A269" s="3" t="s">
        <v>686</v>
      </c>
      <c r="B269" s="15">
        <v>46022</v>
      </c>
      <c r="C269" s="15" t="str">
        <f t="shared" si="4"/>
        <v>December</v>
      </c>
      <c r="D269" s="3" t="s">
        <v>367</v>
      </c>
      <c r="E269" s="3" t="s">
        <v>27</v>
      </c>
      <c r="F269" s="3" t="s">
        <v>28</v>
      </c>
      <c r="G269" s="3" t="s">
        <v>34</v>
      </c>
      <c r="H269" s="3" t="s">
        <v>35</v>
      </c>
      <c r="I269" s="3" t="s">
        <v>134</v>
      </c>
      <c r="J269" s="5">
        <v>5</v>
      </c>
      <c r="K269" s="3">
        <v>139.99</v>
      </c>
      <c r="L269" s="7">
        <v>0</v>
      </c>
      <c r="M269" s="3" t="s">
        <v>80</v>
      </c>
      <c r="N269" s="3">
        <v>699.95</v>
      </c>
      <c r="O269" s="3">
        <v>0</v>
      </c>
      <c r="P269" s="3">
        <v>699.95</v>
      </c>
    </row>
    <row r="270" spans="1:16" x14ac:dyDescent="0.3">
      <c r="A270" s="3" t="s">
        <v>688</v>
      </c>
      <c r="B270" s="15">
        <v>46004</v>
      </c>
      <c r="C270" s="15" t="str">
        <f t="shared" si="4"/>
        <v>December</v>
      </c>
      <c r="D270" s="3" t="s">
        <v>690</v>
      </c>
      <c r="E270" s="3" t="s">
        <v>32</v>
      </c>
      <c r="F270" s="3" t="s">
        <v>45</v>
      </c>
      <c r="G270" s="3" t="s">
        <v>34</v>
      </c>
      <c r="H270" s="3" t="s">
        <v>57</v>
      </c>
      <c r="I270" s="3" t="s">
        <v>58</v>
      </c>
      <c r="J270" s="5">
        <v>5</v>
      </c>
      <c r="K270" s="3">
        <v>89.99</v>
      </c>
      <c r="L270" s="7">
        <v>0.05</v>
      </c>
      <c r="M270" s="3" t="s">
        <v>23</v>
      </c>
      <c r="N270" s="3">
        <v>449.95</v>
      </c>
      <c r="O270" s="3">
        <v>22.5</v>
      </c>
      <c r="P270" s="3">
        <v>427.45</v>
      </c>
    </row>
    <row r="271" spans="1:16" x14ac:dyDescent="0.3">
      <c r="A271" s="3" t="s">
        <v>691</v>
      </c>
      <c r="B271" s="15">
        <v>45881</v>
      </c>
      <c r="C271" s="15" t="str">
        <f t="shared" si="4"/>
        <v>August</v>
      </c>
      <c r="D271" s="3" t="s">
        <v>692</v>
      </c>
      <c r="E271" s="3" t="s">
        <v>32</v>
      </c>
      <c r="F271" s="3" t="s">
        <v>33</v>
      </c>
      <c r="G271" s="3" t="s">
        <v>20</v>
      </c>
      <c r="H271" s="3" t="s">
        <v>35</v>
      </c>
      <c r="I271" s="3" t="s">
        <v>199</v>
      </c>
      <c r="J271" s="5">
        <v>1</v>
      </c>
      <c r="K271" s="3">
        <v>99.99</v>
      </c>
      <c r="L271" s="7">
        <v>0</v>
      </c>
      <c r="M271" s="3" t="s">
        <v>37</v>
      </c>
      <c r="N271" s="3">
        <v>99.99</v>
      </c>
      <c r="O271" s="3">
        <v>0</v>
      </c>
      <c r="P271" s="3">
        <v>99.99</v>
      </c>
    </row>
    <row r="272" spans="1:16" x14ac:dyDescent="0.3">
      <c r="A272" s="3" t="s">
        <v>693</v>
      </c>
      <c r="B272" s="15">
        <v>45888</v>
      </c>
      <c r="C272" s="15" t="str">
        <f t="shared" si="4"/>
        <v>August</v>
      </c>
      <c r="D272" s="3" t="s">
        <v>394</v>
      </c>
      <c r="E272" s="3" t="s">
        <v>18</v>
      </c>
      <c r="F272" s="3" t="s">
        <v>19</v>
      </c>
      <c r="G272" s="3" t="s">
        <v>20</v>
      </c>
      <c r="H272" s="3" t="s">
        <v>62</v>
      </c>
      <c r="I272" s="3" t="s">
        <v>79</v>
      </c>
      <c r="J272" s="5">
        <v>6</v>
      </c>
      <c r="K272" s="3">
        <v>249.99</v>
      </c>
      <c r="L272" s="7">
        <v>0</v>
      </c>
      <c r="M272" s="3" t="s">
        <v>37</v>
      </c>
      <c r="N272" s="3">
        <v>1499.94</v>
      </c>
      <c r="O272" s="3">
        <v>0</v>
      </c>
      <c r="P272" s="3">
        <v>1499.94</v>
      </c>
    </row>
    <row r="273" spans="1:16" x14ac:dyDescent="0.3">
      <c r="A273" s="3" t="s">
        <v>694</v>
      </c>
      <c r="B273" s="15">
        <v>45996</v>
      </c>
      <c r="C273" s="15" t="str">
        <f t="shared" si="4"/>
        <v>December</v>
      </c>
      <c r="D273" s="3" t="s">
        <v>50</v>
      </c>
      <c r="E273" s="3" t="s">
        <v>72</v>
      </c>
      <c r="F273" s="3" t="s">
        <v>73</v>
      </c>
      <c r="G273" s="3" t="s">
        <v>20</v>
      </c>
      <c r="H273" s="3" t="s">
        <v>62</v>
      </c>
      <c r="I273" s="3" t="s">
        <v>79</v>
      </c>
      <c r="J273" s="5">
        <v>6</v>
      </c>
      <c r="K273" s="3">
        <v>249.99</v>
      </c>
      <c r="L273" s="7">
        <v>0.1</v>
      </c>
      <c r="M273" s="3" t="s">
        <v>37</v>
      </c>
      <c r="N273" s="3">
        <v>1499.94</v>
      </c>
      <c r="O273" s="3">
        <v>149.99</v>
      </c>
      <c r="P273" s="3">
        <v>1349.95</v>
      </c>
    </row>
    <row r="274" spans="1:16" x14ac:dyDescent="0.3">
      <c r="A274" s="3" t="s">
        <v>696</v>
      </c>
      <c r="B274" s="15">
        <v>46022</v>
      </c>
      <c r="C274" s="15" t="str">
        <f t="shared" si="4"/>
        <v>December</v>
      </c>
      <c r="D274" s="3" t="s">
        <v>697</v>
      </c>
      <c r="E274" s="3" t="s">
        <v>27</v>
      </c>
      <c r="F274" s="3" t="s">
        <v>67</v>
      </c>
      <c r="G274" s="3" t="s">
        <v>20</v>
      </c>
      <c r="H274" s="3" t="s">
        <v>35</v>
      </c>
      <c r="I274" s="3" t="s">
        <v>199</v>
      </c>
      <c r="J274" s="5">
        <v>2</v>
      </c>
      <c r="K274" s="3">
        <v>99.99</v>
      </c>
      <c r="L274" s="7">
        <v>0.05</v>
      </c>
      <c r="M274" s="3" t="s">
        <v>23</v>
      </c>
      <c r="N274" s="3">
        <v>199.98</v>
      </c>
      <c r="O274" s="3">
        <v>10</v>
      </c>
      <c r="P274" s="3">
        <v>189.98</v>
      </c>
    </row>
    <row r="275" spans="1:16" x14ac:dyDescent="0.3">
      <c r="A275" s="3" t="s">
        <v>698</v>
      </c>
      <c r="B275" s="15">
        <v>45885</v>
      </c>
      <c r="C275" s="15" t="str">
        <f t="shared" si="4"/>
        <v>August</v>
      </c>
      <c r="D275" s="3" t="s">
        <v>699</v>
      </c>
      <c r="E275" s="3" t="s">
        <v>27</v>
      </c>
      <c r="F275" s="3" t="s">
        <v>28</v>
      </c>
      <c r="G275" s="3" t="s">
        <v>34</v>
      </c>
      <c r="H275" s="3" t="s">
        <v>57</v>
      </c>
      <c r="I275" s="3" t="s">
        <v>189</v>
      </c>
      <c r="J275" s="5">
        <v>1</v>
      </c>
      <c r="K275" s="3">
        <v>119.99</v>
      </c>
      <c r="L275" s="7">
        <v>0</v>
      </c>
      <c r="M275" s="3" t="s">
        <v>80</v>
      </c>
      <c r="N275" s="3">
        <v>119.99</v>
      </c>
      <c r="O275" s="3">
        <v>0</v>
      </c>
      <c r="P275" s="3">
        <v>119.99</v>
      </c>
    </row>
    <row r="276" spans="1:16" x14ac:dyDescent="0.3">
      <c r="A276" s="3" t="s">
        <v>700</v>
      </c>
      <c r="B276" s="15">
        <v>45942</v>
      </c>
      <c r="C276" s="15" t="str">
        <f t="shared" si="4"/>
        <v>October</v>
      </c>
      <c r="D276" s="3" t="s">
        <v>107</v>
      </c>
      <c r="E276" s="3" t="s">
        <v>51</v>
      </c>
      <c r="F276" s="3" t="s">
        <v>52</v>
      </c>
      <c r="G276" s="3" t="s">
        <v>34</v>
      </c>
      <c r="H276" s="3" t="s">
        <v>35</v>
      </c>
      <c r="I276" s="3" t="s">
        <v>199</v>
      </c>
      <c r="J276" s="5">
        <v>4</v>
      </c>
      <c r="K276" s="3">
        <v>99.99</v>
      </c>
      <c r="L276" s="7">
        <v>0.1</v>
      </c>
      <c r="M276" s="3" t="s">
        <v>80</v>
      </c>
      <c r="N276" s="3">
        <v>399.96</v>
      </c>
      <c r="O276" s="3">
        <v>40</v>
      </c>
      <c r="P276" s="3">
        <v>359.96</v>
      </c>
    </row>
    <row r="277" spans="1:16" x14ac:dyDescent="0.3">
      <c r="A277" s="3" t="s">
        <v>701</v>
      </c>
      <c r="B277" s="15">
        <v>45824</v>
      </c>
      <c r="C277" s="15" t="str">
        <f t="shared" si="4"/>
        <v>June</v>
      </c>
      <c r="D277" s="3" t="s">
        <v>703</v>
      </c>
      <c r="E277" s="3" t="s">
        <v>18</v>
      </c>
      <c r="F277" s="3" t="s">
        <v>19</v>
      </c>
      <c r="G277" s="3" t="s">
        <v>34</v>
      </c>
      <c r="H277" s="3" t="s">
        <v>21</v>
      </c>
      <c r="I277" s="3" t="s">
        <v>22</v>
      </c>
      <c r="J277" s="5">
        <v>5</v>
      </c>
      <c r="K277" s="3">
        <v>89.99</v>
      </c>
      <c r="L277" s="7">
        <v>0.1</v>
      </c>
      <c r="M277" s="3" t="s">
        <v>80</v>
      </c>
      <c r="N277" s="3">
        <v>449.95</v>
      </c>
      <c r="O277" s="3">
        <v>45</v>
      </c>
      <c r="P277" s="3">
        <v>404.95</v>
      </c>
    </row>
    <row r="278" spans="1:16" x14ac:dyDescent="0.3">
      <c r="A278" s="3" t="s">
        <v>704</v>
      </c>
      <c r="B278" s="15">
        <v>45782</v>
      </c>
      <c r="C278" s="15" t="str">
        <f t="shared" si="4"/>
        <v>May</v>
      </c>
      <c r="D278" s="3" t="s">
        <v>328</v>
      </c>
      <c r="E278" s="3" t="s">
        <v>72</v>
      </c>
      <c r="F278" s="3" t="s">
        <v>73</v>
      </c>
      <c r="G278" s="3" t="s">
        <v>20</v>
      </c>
      <c r="H278" s="3" t="s">
        <v>57</v>
      </c>
      <c r="I278" s="3" t="s">
        <v>130</v>
      </c>
      <c r="J278" s="5">
        <v>6</v>
      </c>
      <c r="K278" s="3">
        <v>109.99</v>
      </c>
      <c r="L278" s="7">
        <v>0.1</v>
      </c>
      <c r="M278" s="3" t="s">
        <v>23</v>
      </c>
      <c r="N278" s="3">
        <v>659.94</v>
      </c>
      <c r="O278" s="3">
        <v>65.989999999999995</v>
      </c>
      <c r="P278" s="3">
        <v>593.95000000000005</v>
      </c>
    </row>
    <row r="279" spans="1:16" x14ac:dyDescent="0.3">
      <c r="A279" s="3" t="s">
        <v>706</v>
      </c>
      <c r="B279" s="15">
        <v>45732</v>
      </c>
      <c r="C279" s="15" t="str">
        <f t="shared" si="4"/>
        <v>March</v>
      </c>
      <c r="D279" s="3" t="s">
        <v>707</v>
      </c>
      <c r="E279" s="3" t="s">
        <v>18</v>
      </c>
      <c r="F279" s="3" t="s">
        <v>56</v>
      </c>
      <c r="G279" s="3" t="s">
        <v>20</v>
      </c>
      <c r="H279" s="3" t="s">
        <v>35</v>
      </c>
      <c r="I279" s="3" t="s">
        <v>41</v>
      </c>
      <c r="J279" s="5">
        <v>3</v>
      </c>
      <c r="K279" s="3">
        <v>104.99</v>
      </c>
      <c r="L279" s="7">
        <v>0.05</v>
      </c>
      <c r="M279" s="3" t="s">
        <v>23</v>
      </c>
      <c r="N279" s="3">
        <v>314.97000000000003</v>
      </c>
      <c r="O279" s="3">
        <v>15.75</v>
      </c>
      <c r="P279" s="3">
        <v>299.22000000000003</v>
      </c>
    </row>
    <row r="280" spans="1:16" x14ac:dyDescent="0.3">
      <c r="A280" s="3" t="s">
        <v>708</v>
      </c>
      <c r="B280" s="15">
        <v>45786</v>
      </c>
      <c r="C280" s="15" t="str">
        <f t="shared" si="4"/>
        <v>May</v>
      </c>
      <c r="D280" s="3" t="s">
        <v>710</v>
      </c>
      <c r="E280" s="3" t="s">
        <v>18</v>
      </c>
      <c r="F280" s="3" t="s">
        <v>56</v>
      </c>
      <c r="G280" s="3" t="s">
        <v>20</v>
      </c>
      <c r="H280" s="3" t="s">
        <v>57</v>
      </c>
      <c r="I280" s="3" t="s">
        <v>130</v>
      </c>
      <c r="J280" s="5">
        <v>1</v>
      </c>
      <c r="K280" s="3">
        <v>109.99</v>
      </c>
      <c r="L280" s="7">
        <v>0</v>
      </c>
      <c r="M280" s="3" t="s">
        <v>23</v>
      </c>
      <c r="N280" s="3">
        <v>109.99</v>
      </c>
      <c r="O280" s="3">
        <v>0</v>
      </c>
      <c r="P280" s="3">
        <v>109.99</v>
      </c>
    </row>
    <row r="281" spans="1:16" x14ac:dyDescent="0.3">
      <c r="A281" s="3" t="s">
        <v>711</v>
      </c>
      <c r="B281" s="15">
        <v>45661</v>
      </c>
      <c r="C281" s="15" t="str">
        <f t="shared" si="4"/>
        <v>January</v>
      </c>
      <c r="D281" s="3" t="s">
        <v>372</v>
      </c>
      <c r="E281" s="3" t="s">
        <v>72</v>
      </c>
      <c r="F281" s="3" t="s">
        <v>73</v>
      </c>
      <c r="G281" s="3" t="s">
        <v>34</v>
      </c>
      <c r="H281" s="3" t="s">
        <v>62</v>
      </c>
      <c r="I281" s="3" t="s">
        <v>63</v>
      </c>
      <c r="J281" s="5">
        <v>2</v>
      </c>
      <c r="K281" s="3">
        <v>199.99</v>
      </c>
      <c r="L281" s="7">
        <v>0</v>
      </c>
      <c r="M281" s="3" t="s">
        <v>37</v>
      </c>
      <c r="N281" s="3">
        <v>399.98</v>
      </c>
      <c r="O281" s="3">
        <v>0</v>
      </c>
      <c r="P281" s="3">
        <v>399.98</v>
      </c>
    </row>
    <row r="282" spans="1:16" x14ac:dyDescent="0.3">
      <c r="A282" s="3" t="s">
        <v>713</v>
      </c>
      <c r="B282" s="15">
        <v>45991</v>
      </c>
      <c r="C282" s="15" t="str">
        <f t="shared" si="4"/>
        <v>November</v>
      </c>
      <c r="D282" s="3" t="s">
        <v>714</v>
      </c>
      <c r="E282" s="3" t="s">
        <v>18</v>
      </c>
      <c r="F282" s="3" t="s">
        <v>56</v>
      </c>
      <c r="G282" s="3" t="s">
        <v>20</v>
      </c>
      <c r="H282" s="3" t="s">
        <v>62</v>
      </c>
      <c r="I282" s="3" t="s">
        <v>79</v>
      </c>
      <c r="J282" s="5">
        <v>3</v>
      </c>
      <c r="K282" s="3">
        <v>249.99</v>
      </c>
      <c r="L282" s="7">
        <v>0.05</v>
      </c>
      <c r="M282" s="3" t="s">
        <v>37</v>
      </c>
      <c r="N282" s="3">
        <v>749.97</v>
      </c>
      <c r="O282" s="3">
        <v>37.5</v>
      </c>
      <c r="P282" s="3">
        <v>712.47</v>
      </c>
    </row>
    <row r="283" spans="1:16" x14ac:dyDescent="0.3">
      <c r="A283" s="3" t="s">
        <v>715</v>
      </c>
      <c r="B283" s="15">
        <v>45821</v>
      </c>
      <c r="C283" s="15" t="str">
        <f t="shared" si="4"/>
        <v>June</v>
      </c>
      <c r="D283" s="3" t="s">
        <v>716</v>
      </c>
      <c r="E283" s="3" t="s">
        <v>72</v>
      </c>
      <c r="F283" s="3" t="s">
        <v>152</v>
      </c>
      <c r="G283" s="3" t="s">
        <v>34</v>
      </c>
      <c r="H283" s="3" t="s">
        <v>57</v>
      </c>
      <c r="I283" s="3" t="s">
        <v>58</v>
      </c>
      <c r="J283" s="5">
        <v>2</v>
      </c>
      <c r="K283" s="3">
        <v>89.99</v>
      </c>
      <c r="L283" s="7">
        <v>0.05</v>
      </c>
      <c r="M283" s="3" t="s">
        <v>47</v>
      </c>
      <c r="N283" s="3">
        <v>179.98</v>
      </c>
      <c r="O283" s="3">
        <v>9</v>
      </c>
      <c r="P283" s="3">
        <v>170.98</v>
      </c>
    </row>
    <row r="284" spans="1:16" x14ac:dyDescent="0.3">
      <c r="A284" s="3" t="s">
        <v>717</v>
      </c>
      <c r="B284" s="15">
        <v>45946</v>
      </c>
      <c r="C284" s="15" t="str">
        <f t="shared" si="4"/>
        <v>October</v>
      </c>
      <c r="D284" s="3" t="s">
        <v>236</v>
      </c>
      <c r="E284" s="3" t="s">
        <v>18</v>
      </c>
      <c r="F284" s="3" t="s">
        <v>56</v>
      </c>
      <c r="G284" s="3" t="s">
        <v>20</v>
      </c>
      <c r="H284" s="3" t="s">
        <v>57</v>
      </c>
      <c r="I284" s="3" t="s">
        <v>130</v>
      </c>
      <c r="J284" s="5">
        <v>3</v>
      </c>
      <c r="K284" s="3">
        <v>109.99</v>
      </c>
      <c r="L284" s="7">
        <v>0</v>
      </c>
      <c r="M284" s="3" t="s">
        <v>80</v>
      </c>
      <c r="N284" s="3">
        <v>329.97</v>
      </c>
      <c r="O284" s="3">
        <v>0</v>
      </c>
      <c r="P284" s="3">
        <v>329.97</v>
      </c>
    </row>
    <row r="285" spans="1:16" x14ac:dyDescent="0.3">
      <c r="A285" s="3" t="s">
        <v>718</v>
      </c>
      <c r="B285" s="15">
        <v>45693</v>
      </c>
      <c r="C285" s="15" t="str">
        <f t="shared" si="4"/>
        <v>February</v>
      </c>
      <c r="D285" s="3" t="s">
        <v>485</v>
      </c>
      <c r="E285" s="3" t="s">
        <v>51</v>
      </c>
      <c r="F285" s="3" t="s">
        <v>52</v>
      </c>
      <c r="G285" s="3" t="s">
        <v>34</v>
      </c>
      <c r="H285" s="3" t="s">
        <v>74</v>
      </c>
      <c r="I285" s="3" t="s">
        <v>143</v>
      </c>
      <c r="J285" s="5">
        <v>3</v>
      </c>
      <c r="K285" s="3">
        <v>99.99</v>
      </c>
      <c r="L285" s="7">
        <v>0.15</v>
      </c>
      <c r="M285" s="3" t="s">
        <v>23</v>
      </c>
      <c r="N285" s="3">
        <v>299.97000000000003</v>
      </c>
      <c r="O285" s="3">
        <v>45</v>
      </c>
      <c r="P285" s="3">
        <v>254.97</v>
      </c>
    </row>
    <row r="286" spans="1:16" x14ac:dyDescent="0.3">
      <c r="A286" s="3" t="s">
        <v>719</v>
      </c>
      <c r="B286" s="15">
        <v>45874</v>
      </c>
      <c r="C286" s="15" t="str">
        <f t="shared" si="4"/>
        <v>August</v>
      </c>
      <c r="D286" s="3" t="s">
        <v>491</v>
      </c>
      <c r="E286" s="3" t="s">
        <v>51</v>
      </c>
      <c r="F286" s="3" t="s">
        <v>52</v>
      </c>
      <c r="G286" s="3" t="s">
        <v>34</v>
      </c>
      <c r="H286" s="3" t="s">
        <v>35</v>
      </c>
      <c r="I286" s="3" t="s">
        <v>134</v>
      </c>
      <c r="J286" s="5">
        <v>6</v>
      </c>
      <c r="K286" s="3">
        <v>139.99</v>
      </c>
      <c r="L286" s="7">
        <v>0</v>
      </c>
      <c r="M286" s="3" t="s">
        <v>80</v>
      </c>
      <c r="N286" s="3">
        <v>839.94</v>
      </c>
      <c r="O286" s="3">
        <v>0</v>
      </c>
      <c r="P286" s="3">
        <v>839.94</v>
      </c>
    </row>
    <row r="287" spans="1:16" x14ac:dyDescent="0.3">
      <c r="A287" s="3" t="s">
        <v>721</v>
      </c>
      <c r="B287" s="15">
        <v>46012</v>
      </c>
      <c r="C287" s="15" t="str">
        <f t="shared" si="4"/>
        <v>December</v>
      </c>
      <c r="D287" s="3" t="s">
        <v>418</v>
      </c>
      <c r="E287" s="3" t="s">
        <v>72</v>
      </c>
      <c r="F287" s="3" t="s">
        <v>152</v>
      </c>
      <c r="G287" s="3" t="s">
        <v>20</v>
      </c>
      <c r="H287" s="3" t="s">
        <v>74</v>
      </c>
      <c r="I287" s="3" t="s">
        <v>143</v>
      </c>
      <c r="J287" s="5">
        <v>5</v>
      </c>
      <c r="K287" s="3">
        <v>99.99</v>
      </c>
      <c r="L287" s="7">
        <v>0.1</v>
      </c>
      <c r="M287" s="3" t="s">
        <v>37</v>
      </c>
      <c r="N287" s="3">
        <v>499.95</v>
      </c>
      <c r="O287" s="3">
        <v>50</v>
      </c>
      <c r="P287" s="3">
        <v>449.95</v>
      </c>
    </row>
    <row r="288" spans="1:16" x14ac:dyDescent="0.3">
      <c r="A288" s="3" t="s">
        <v>723</v>
      </c>
      <c r="B288" s="15">
        <v>45839</v>
      </c>
      <c r="C288" s="15" t="str">
        <f t="shared" si="4"/>
        <v>July</v>
      </c>
      <c r="D288" s="3" t="s">
        <v>546</v>
      </c>
      <c r="E288" s="3" t="s">
        <v>27</v>
      </c>
      <c r="F288" s="3" t="s">
        <v>28</v>
      </c>
      <c r="G288" s="3" t="s">
        <v>20</v>
      </c>
      <c r="H288" s="3" t="s">
        <v>62</v>
      </c>
      <c r="I288" s="3" t="s">
        <v>124</v>
      </c>
      <c r="J288" s="5">
        <v>6</v>
      </c>
      <c r="K288" s="3">
        <v>399.99</v>
      </c>
      <c r="L288" s="7">
        <v>0.15</v>
      </c>
      <c r="M288" s="3" t="s">
        <v>23</v>
      </c>
      <c r="N288" s="3">
        <v>2399.94</v>
      </c>
      <c r="O288" s="3">
        <v>359.99</v>
      </c>
      <c r="P288" s="3">
        <v>2039.95</v>
      </c>
    </row>
    <row r="289" spans="1:16" x14ac:dyDescent="0.3">
      <c r="A289" s="3" t="s">
        <v>724</v>
      </c>
      <c r="B289" s="15">
        <v>45771</v>
      </c>
      <c r="C289" s="15" t="str">
        <f t="shared" si="4"/>
        <v>April</v>
      </c>
      <c r="D289" s="3" t="s">
        <v>177</v>
      </c>
      <c r="E289" s="3" t="s">
        <v>27</v>
      </c>
      <c r="F289" s="3" t="s">
        <v>28</v>
      </c>
      <c r="G289" s="3" t="s">
        <v>20</v>
      </c>
      <c r="H289" s="3" t="s">
        <v>57</v>
      </c>
      <c r="I289" s="3" t="s">
        <v>130</v>
      </c>
      <c r="J289" s="5">
        <v>1</v>
      </c>
      <c r="K289" s="3">
        <v>109.99</v>
      </c>
      <c r="L289" s="7">
        <v>0</v>
      </c>
      <c r="M289" s="3" t="s">
        <v>23</v>
      </c>
      <c r="N289" s="3">
        <v>109.99</v>
      </c>
      <c r="O289" s="3">
        <v>0</v>
      </c>
      <c r="P289" s="3">
        <v>109.99</v>
      </c>
    </row>
    <row r="290" spans="1:16" x14ac:dyDescent="0.3">
      <c r="A290" s="3" t="s">
        <v>725</v>
      </c>
      <c r="B290" s="15">
        <v>45905</v>
      </c>
      <c r="C290" s="15" t="str">
        <f t="shared" si="4"/>
        <v>September</v>
      </c>
      <c r="D290" s="3" t="s">
        <v>507</v>
      </c>
      <c r="E290" s="3" t="s">
        <v>72</v>
      </c>
      <c r="F290" s="3" t="s">
        <v>73</v>
      </c>
      <c r="G290" s="3" t="s">
        <v>34</v>
      </c>
      <c r="H290" s="3" t="s">
        <v>57</v>
      </c>
      <c r="I290" s="3" t="s">
        <v>130</v>
      </c>
      <c r="J290" s="5">
        <v>3</v>
      </c>
      <c r="K290" s="3">
        <v>109.99</v>
      </c>
      <c r="L290" s="7">
        <v>0</v>
      </c>
      <c r="M290" s="3" t="s">
        <v>23</v>
      </c>
      <c r="N290" s="3">
        <v>329.97</v>
      </c>
      <c r="O290" s="3">
        <v>0</v>
      </c>
      <c r="P290" s="3">
        <v>329.97</v>
      </c>
    </row>
    <row r="291" spans="1:16" x14ac:dyDescent="0.3">
      <c r="A291" s="3" t="s">
        <v>726</v>
      </c>
      <c r="B291" s="15">
        <v>45891</v>
      </c>
      <c r="C291" s="15" t="str">
        <f t="shared" si="4"/>
        <v>August</v>
      </c>
      <c r="D291" s="3" t="s">
        <v>697</v>
      </c>
      <c r="E291" s="3" t="s">
        <v>51</v>
      </c>
      <c r="F291" s="3" t="s">
        <v>52</v>
      </c>
      <c r="G291" s="3" t="s">
        <v>20</v>
      </c>
      <c r="H291" s="3" t="s">
        <v>21</v>
      </c>
      <c r="I291" s="3" t="s">
        <v>22</v>
      </c>
      <c r="J291" s="5">
        <v>3</v>
      </c>
      <c r="K291" s="3">
        <v>89.99</v>
      </c>
      <c r="L291" s="7">
        <v>0</v>
      </c>
      <c r="M291" s="3" t="s">
        <v>23</v>
      </c>
      <c r="N291" s="3">
        <v>269.97000000000003</v>
      </c>
      <c r="O291" s="3">
        <v>0</v>
      </c>
      <c r="P291" s="3">
        <v>269.97000000000003</v>
      </c>
    </row>
    <row r="292" spans="1:16" x14ac:dyDescent="0.3">
      <c r="A292" s="3" t="s">
        <v>727</v>
      </c>
      <c r="B292" s="15">
        <v>45889</v>
      </c>
      <c r="C292" s="15" t="str">
        <f t="shared" si="4"/>
        <v>August</v>
      </c>
      <c r="D292" s="3" t="s">
        <v>729</v>
      </c>
      <c r="E292" s="3" t="s">
        <v>27</v>
      </c>
      <c r="F292" s="3" t="s">
        <v>67</v>
      </c>
      <c r="G292" s="3" t="s">
        <v>20</v>
      </c>
      <c r="H292" s="3" t="s">
        <v>57</v>
      </c>
      <c r="I292" s="3" t="s">
        <v>130</v>
      </c>
      <c r="J292" s="5">
        <v>6</v>
      </c>
      <c r="K292" s="3">
        <v>109.99</v>
      </c>
      <c r="L292" s="7">
        <v>0.15</v>
      </c>
      <c r="M292" s="3" t="s">
        <v>37</v>
      </c>
      <c r="N292" s="3">
        <v>659.94</v>
      </c>
      <c r="O292" s="3">
        <v>98.99</v>
      </c>
      <c r="P292" s="3">
        <v>560.95000000000005</v>
      </c>
    </row>
    <row r="293" spans="1:16" x14ac:dyDescent="0.3">
      <c r="A293" s="3" t="s">
        <v>730</v>
      </c>
      <c r="B293" s="15">
        <v>46004</v>
      </c>
      <c r="C293" s="15" t="str">
        <f t="shared" si="4"/>
        <v>December</v>
      </c>
      <c r="D293" s="3" t="s">
        <v>256</v>
      </c>
      <c r="E293" s="3" t="s">
        <v>27</v>
      </c>
      <c r="F293" s="3" t="s">
        <v>67</v>
      </c>
      <c r="G293" s="3" t="s">
        <v>20</v>
      </c>
      <c r="H293" s="3" t="s">
        <v>21</v>
      </c>
      <c r="I293" s="3" t="s">
        <v>22</v>
      </c>
      <c r="J293" s="5">
        <v>6</v>
      </c>
      <c r="K293" s="3">
        <v>89.99</v>
      </c>
      <c r="L293" s="7">
        <v>0</v>
      </c>
      <c r="M293" s="3" t="s">
        <v>47</v>
      </c>
      <c r="N293" s="3">
        <v>539.94000000000005</v>
      </c>
      <c r="O293" s="3">
        <v>0</v>
      </c>
      <c r="P293" s="3">
        <v>539.94000000000005</v>
      </c>
    </row>
    <row r="294" spans="1:16" x14ac:dyDescent="0.3">
      <c r="A294" s="3" t="s">
        <v>731</v>
      </c>
      <c r="B294" s="15">
        <v>45876</v>
      </c>
      <c r="C294" s="15" t="str">
        <f t="shared" si="4"/>
        <v>August</v>
      </c>
      <c r="D294" s="3" t="s">
        <v>248</v>
      </c>
      <c r="E294" s="3" t="s">
        <v>32</v>
      </c>
      <c r="F294" s="3" t="s">
        <v>45</v>
      </c>
      <c r="G294" s="3" t="s">
        <v>34</v>
      </c>
      <c r="H294" s="3" t="s">
        <v>62</v>
      </c>
      <c r="I294" s="3" t="s">
        <v>63</v>
      </c>
      <c r="J294" s="5">
        <v>3</v>
      </c>
      <c r="K294" s="3">
        <v>199.99</v>
      </c>
      <c r="L294" s="7">
        <v>0.1</v>
      </c>
      <c r="M294" s="3" t="s">
        <v>47</v>
      </c>
      <c r="N294" s="3">
        <v>599.97</v>
      </c>
      <c r="O294" s="3">
        <v>60</v>
      </c>
      <c r="P294" s="3">
        <v>539.97</v>
      </c>
    </row>
    <row r="295" spans="1:16" x14ac:dyDescent="0.3">
      <c r="A295" s="3" t="s">
        <v>733</v>
      </c>
      <c r="B295" s="15">
        <v>45879</v>
      </c>
      <c r="C295" s="15" t="str">
        <f t="shared" si="4"/>
        <v>August</v>
      </c>
      <c r="D295" s="3" t="s">
        <v>734</v>
      </c>
      <c r="E295" s="3" t="s">
        <v>51</v>
      </c>
      <c r="F295" s="3" t="s">
        <v>108</v>
      </c>
      <c r="G295" s="3" t="s">
        <v>20</v>
      </c>
      <c r="H295" s="3" t="s">
        <v>74</v>
      </c>
      <c r="I295" s="3" t="s">
        <v>143</v>
      </c>
      <c r="J295" s="5">
        <v>6</v>
      </c>
      <c r="K295" s="3">
        <v>99.99</v>
      </c>
      <c r="L295" s="7">
        <v>0.15</v>
      </c>
      <c r="M295" s="3" t="s">
        <v>47</v>
      </c>
      <c r="N295" s="3">
        <v>599.94000000000005</v>
      </c>
      <c r="O295" s="3">
        <v>89.99</v>
      </c>
      <c r="P295" s="3">
        <v>509.95</v>
      </c>
    </row>
    <row r="296" spans="1:16" x14ac:dyDescent="0.3">
      <c r="A296" s="3" t="s">
        <v>735</v>
      </c>
      <c r="B296" s="15">
        <v>45767</v>
      </c>
      <c r="C296" s="15" t="str">
        <f t="shared" si="4"/>
        <v>April</v>
      </c>
      <c r="D296" s="3" t="s">
        <v>659</v>
      </c>
      <c r="E296" s="3" t="s">
        <v>72</v>
      </c>
      <c r="F296" s="3" t="s">
        <v>152</v>
      </c>
      <c r="G296" s="3" t="s">
        <v>34</v>
      </c>
      <c r="H296" s="3" t="s">
        <v>74</v>
      </c>
      <c r="I296" s="3" t="s">
        <v>143</v>
      </c>
      <c r="J296" s="5">
        <v>1</v>
      </c>
      <c r="K296" s="3">
        <v>99.99</v>
      </c>
      <c r="L296" s="7">
        <v>0.15</v>
      </c>
      <c r="M296" s="3" t="s">
        <v>80</v>
      </c>
      <c r="N296" s="3">
        <v>99.99</v>
      </c>
      <c r="O296" s="3">
        <v>15</v>
      </c>
      <c r="P296" s="3">
        <v>84.99</v>
      </c>
    </row>
    <row r="297" spans="1:16" x14ac:dyDescent="0.3">
      <c r="A297" s="3" t="s">
        <v>737</v>
      </c>
      <c r="B297" s="15">
        <v>45758</v>
      </c>
      <c r="C297" s="15" t="str">
        <f t="shared" si="4"/>
        <v>April</v>
      </c>
      <c r="D297" s="3" t="s">
        <v>346</v>
      </c>
      <c r="E297" s="3" t="s">
        <v>32</v>
      </c>
      <c r="F297" s="3" t="s">
        <v>45</v>
      </c>
      <c r="G297" s="3" t="s">
        <v>20</v>
      </c>
      <c r="H297" s="3" t="s">
        <v>62</v>
      </c>
      <c r="I297" s="3" t="s">
        <v>124</v>
      </c>
      <c r="J297" s="5">
        <v>3</v>
      </c>
      <c r="K297" s="3">
        <v>399.99</v>
      </c>
      <c r="L297" s="7">
        <v>0</v>
      </c>
      <c r="M297" s="3" t="s">
        <v>37</v>
      </c>
      <c r="N297" s="3">
        <v>1199.97</v>
      </c>
      <c r="O297" s="3">
        <v>0</v>
      </c>
      <c r="P297" s="3">
        <v>1199.97</v>
      </c>
    </row>
    <row r="298" spans="1:16" x14ac:dyDescent="0.3">
      <c r="A298" s="3" t="s">
        <v>738</v>
      </c>
      <c r="B298" s="15">
        <v>45958</v>
      </c>
      <c r="C298" s="15" t="str">
        <f t="shared" si="4"/>
        <v>October</v>
      </c>
      <c r="D298" s="3" t="s">
        <v>369</v>
      </c>
      <c r="E298" s="3" t="s">
        <v>18</v>
      </c>
      <c r="F298" s="3" t="s">
        <v>56</v>
      </c>
      <c r="G298" s="3" t="s">
        <v>34</v>
      </c>
      <c r="H298" s="3" t="s">
        <v>74</v>
      </c>
      <c r="I298" s="3" t="s">
        <v>143</v>
      </c>
      <c r="J298" s="5">
        <v>5</v>
      </c>
      <c r="K298" s="3">
        <v>99.99</v>
      </c>
      <c r="L298" s="7">
        <v>0.05</v>
      </c>
      <c r="M298" s="3" t="s">
        <v>37</v>
      </c>
      <c r="N298" s="3">
        <v>499.95</v>
      </c>
      <c r="O298" s="3">
        <v>25</v>
      </c>
      <c r="P298" s="3">
        <v>474.95</v>
      </c>
    </row>
    <row r="299" spans="1:16" x14ac:dyDescent="0.3">
      <c r="A299" s="3" t="s">
        <v>740</v>
      </c>
      <c r="B299" s="15">
        <v>45701</v>
      </c>
      <c r="C299" s="15" t="str">
        <f t="shared" si="4"/>
        <v>February</v>
      </c>
      <c r="D299" s="3" t="s">
        <v>195</v>
      </c>
      <c r="E299" s="3" t="s">
        <v>51</v>
      </c>
      <c r="F299" s="3" t="s">
        <v>52</v>
      </c>
      <c r="G299" s="3" t="s">
        <v>20</v>
      </c>
      <c r="H299" s="3" t="s">
        <v>74</v>
      </c>
      <c r="I299" s="3" t="s">
        <v>143</v>
      </c>
      <c r="J299" s="5">
        <v>5</v>
      </c>
      <c r="K299" s="3">
        <v>99.99</v>
      </c>
      <c r="L299" s="7">
        <v>0.1</v>
      </c>
      <c r="M299" s="3" t="s">
        <v>37</v>
      </c>
      <c r="N299" s="3">
        <v>499.95</v>
      </c>
      <c r="O299" s="3">
        <v>50</v>
      </c>
      <c r="P299" s="3">
        <v>449.95</v>
      </c>
    </row>
    <row r="300" spans="1:16" x14ac:dyDescent="0.3">
      <c r="A300" s="3" t="s">
        <v>741</v>
      </c>
      <c r="B300" s="15">
        <v>46013</v>
      </c>
      <c r="C300" s="15" t="str">
        <f t="shared" si="4"/>
        <v>December</v>
      </c>
      <c r="D300" s="3" t="s">
        <v>559</v>
      </c>
      <c r="E300" s="3" t="s">
        <v>18</v>
      </c>
      <c r="F300" s="3" t="s">
        <v>19</v>
      </c>
      <c r="G300" s="3" t="s">
        <v>34</v>
      </c>
      <c r="H300" s="3" t="s">
        <v>21</v>
      </c>
      <c r="I300" s="3" t="s">
        <v>68</v>
      </c>
      <c r="J300" s="5">
        <v>2</v>
      </c>
      <c r="K300" s="3">
        <v>129.99</v>
      </c>
      <c r="L300" s="7">
        <v>0</v>
      </c>
      <c r="M300" s="3" t="s">
        <v>23</v>
      </c>
      <c r="N300" s="3">
        <v>259.98</v>
      </c>
      <c r="O300" s="3">
        <v>0</v>
      </c>
      <c r="P300" s="3">
        <v>259.98</v>
      </c>
    </row>
    <row r="301" spans="1:16" x14ac:dyDescent="0.3">
      <c r="A301" s="3" t="s">
        <v>742</v>
      </c>
      <c r="B301" s="15">
        <v>45907</v>
      </c>
      <c r="C301" s="15" t="str">
        <f t="shared" si="4"/>
        <v>September</v>
      </c>
      <c r="D301" s="3" t="s">
        <v>157</v>
      </c>
      <c r="E301" s="3" t="s">
        <v>32</v>
      </c>
      <c r="F301" s="3" t="s">
        <v>33</v>
      </c>
      <c r="G301" s="3" t="s">
        <v>20</v>
      </c>
      <c r="H301" s="3" t="s">
        <v>62</v>
      </c>
      <c r="I301" s="3" t="s">
        <v>63</v>
      </c>
      <c r="J301" s="5">
        <v>4</v>
      </c>
      <c r="K301" s="3">
        <v>199.99</v>
      </c>
      <c r="L301" s="7">
        <v>0</v>
      </c>
      <c r="M301" s="3" t="s">
        <v>47</v>
      </c>
      <c r="N301" s="3">
        <v>799.96</v>
      </c>
      <c r="O301" s="3">
        <v>0</v>
      </c>
      <c r="P301" s="3">
        <v>799.96</v>
      </c>
    </row>
    <row r="302" spans="1:16" x14ac:dyDescent="0.3">
      <c r="A302" s="3" t="s">
        <v>744</v>
      </c>
      <c r="B302" s="15">
        <v>45975</v>
      </c>
      <c r="C302" s="15" t="str">
        <f t="shared" si="4"/>
        <v>November</v>
      </c>
      <c r="D302" s="3" t="s">
        <v>745</v>
      </c>
      <c r="E302" s="3" t="s">
        <v>51</v>
      </c>
      <c r="F302" s="3" t="s">
        <v>108</v>
      </c>
      <c r="G302" s="3" t="s">
        <v>34</v>
      </c>
      <c r="H302" s="3" t="s">
        <v>74</v>
      </c>
      <c r="I302" s="3" t="s">
        <v>75</v>
      </c>
      <c r="J302" s="5">
        <v>3</v>
      </c>
      <c r="K302" s="3">
        <v>299.99</v>
      </c>
      <c r="L302" s="7">
        <v>0.05</v>
      </c>
      <c r="M302" s="3" t="s">
        <v>80</v>
      </c>
      <c r="N302" s="3">
        <v>899.97</v>
      </c>
      <c r="O302" s="3">
        <v>45</v>
      </c>
      <c r="P302" s="3">
        <v>854.97</v>
      </c>
    </row>
    <row r="303" spans="1:16" x14ac:dyDescent="0.3">
      <c r="A303" s="3" t="s">
        <v>746</v>
      </c>
      <c r="B303" s="15">
        <v>45992</v>
      </c>
      <c r="C303" s="15" t="str">
        <f t="shared" si="4"/>
        <v>December</v>
      </c>
      <c r="D303" s="3" t="s">
        <v>297</v>
      </c>
      <c r="E303" s="3" t="s">
        <v>51</v>
      </c>
      <c r="F303" s="3" t="s">
        <v>52</v>
      </c>
      <c r="G303" s="3" t="s">
        <v>34</v>
      </c>
      <c r="H303" s="3" t="s">
        <v>74</v>
      </c>
      <c r="I303" s="3" t="s">
        <v>112</v>
      </c>
      <c r="J303" s="5">
        <v>5</v>
      </c>
      <c r="K303" s="3">
        <v>129.99</v>
      </c>
      <c r="L303" s="7">
        <v>0.1</v>
      </c>
      <c r="M303" s="3" t="s">
        <v>23</v>
      </c>
      <c r="N303" s="3">
        <v>649.95000000000005</v>
      </c>
      <c r="O303" s="3">
        <v>65</v>
      </c>
      <c r="P303" s="3">
        <v>584.95000000000005</v>
      </c>
    </row>
    <row r="304" spans="1:16" x14ac:dyDescent="0.3">
      <c r="A304" s="3" t="s">
        <v>748</v>
      </c>
      <c r="B304" s="15">
        <v>45947</v>
      </c>
      <c r="C304" s="15" t="str">
        <f t="shared" si="4"/>
        <v>October</v>
      </c>
      <c r="D304" s="3" t="s">
        <v>315</v>
      </c>
      <c r="E304" s="3" t="s">
        <v>72</v>
      </c>
      <c r="F304" s="3" t="s">
        <v>152</v>
      </c>
      <c r="G304" s="3" t="s">
        <v>20</v>
      </c>
      <c r="H304" s="3" t="s">
        <v>74</v>
      </c>
      <c r="I304" s="3" t="s">
        <v>143</v>
      </c>
      <c r="J304" s="5">
        <v>2</v>
      </c>
      <c r="K304" s="3">
        <v>99.99</v>
      </c>
      <c r="L304" s="7">
        <v>0</v>
      </c>
      <c r="M304" s="3" t="s">
        <v>37</v>
      </c>
      <c r="N304" s="3">
        <v>199.98</v>
      </c>
      <c r="O304" s="3">
        <v>0</v>
      </c>
      <c r="P304" s="3">
        <v>199.98</v>
      </c>
    </row>
    <row r="305" spans="1:16" x14ac:dyDescent="0.3">
      <c r="A305" s="3" t="s">
        <v>750</v>
      </c>
      <c r="B305" s="15">
        <v>45947</v>
      </c>
      <c r="C305" s="15" t="str">
        <f t="shared" si="4"/>
        <v>October</v>
      </c>
      <c r="D305" s="3" t="s">
        <v>71</v>
      </c>
      <c r="E305" s="3" t="s">
        <v>51</v>
      </c>
      <c r="F305" s="3" t="s">
        <v>52</v>
      </c>
      <c r="G305" s="3" t="s">
        <v>34</v>
      </c>
      <c r="H305" s="3" t="s">
        <v>21</v>
      </c>
      <c r="I305" s="3" t="s">
        <v>87</v>
      </c>
      <c r="J305" s="5">
        <v>2</v>
      </c>
      <c r="K305" s="3">
        <v>149.99</v>
      </c>
      <c r="L305" s="7">
        <v>0.05</v>
      </c>
      <c r="M305" s="3" t="s">
        <v>80</v>
      </c>
      <c r="N305" s="3">
        <v>299.98</v>
      </c>
      <c r="O305" s="3">
        <v>15</v>
      </c>
      <c r="P305" s="3">
        <v>284.98</v>
      </c>
    </row>
    <row r="306" spans="1:16" x14ac:dyDescent="0.3">
      <c r="A306" s="3" t="s">
        <v>751</v>
      </c>
      <c r="B306" s="15">
        <v>45883</v>
      </c>
      <c r="C306" s="15" t="str">
        <f t="shared" si="4"/>
        <v>August</v>
      </c>
      <c r="D306" s="3" t="s">
        <v>378</v>
      </c>
      <c r="E306" s="3" t="s">
        <v>18</v>
      </c>
      <c r="F306" s="3" t="s">
        <v>56</v>
      </c>
      <c r="G306" s="3" t="s">
        <v>20</v>
      </c>
      <c r="H306" s="3" t="s">
        <v>62</v>
      </c>
      <c r="I306" s="3" t="s">
        <v>124</v>
      </c>
      <c r="J306" s="5">
        <v>5</v>
      </c>
      <c r="K306" s="3">
        <v>399.99</v>
      </c>
      <c r="L306" s="7">
        <v>0</v>
      </c>
      <c r="M306" s="3" t="s">
        <v>23</v>
      </c>
      <c r="N306" s="3">
        <v>1999.95</v>
      </c>
      <c r="O306" s="3">
        <v>0</v>
      </c>
      <c r="P306" s="3">
        <v>1999.95</v>
      </c>
    </row>
    <row r="307" spans="1:16" x14ac:dyDescent="0.3">
      <c r="A307" s="3" t="s">
        <v>753</v>
      </c>
      <c r="B307" s="15">
        <v>45836</v>
      </c>
      <c r="C307" s="15" t="str">
        <f t="shared" si="4"/>
        <v>June</v>
      </c>
      <c r="D307" s="3" t="s">
        <v>755</v>
      </c>
      <c r="E307" s="3" t="s">
        <v>18</v>
      </c>
      <c r="F307" s="3" t="s">
        <v>19</v>
      </c>
      <c r="G307" s="3" t="s">
        <v>20</v>
      </c>
      <c r="H307" s="3" t="s">
        <v>21</v>
      </c>
      <c r="I307" s="3" t="s">
        <v>68</v>
      </c>
      <c r="J307" s="5">
        <v>4</v>
      </c>
      <c r="K307" s="3">
        <v>129.99</v>
      </c>
      <c r="L307" s="7">
        <v>0</v>
      </c>
      <c r="M307" s="3" t="s">
        <v>23</v>
      </c>
      <c r="N307" s="3">
        <v>519.96</v>
      </c>
      <c r="O307" s="3">
        <v>0</v>
      </c>
      <c r="P307" s="3">
        <v>519.96</v>
      </c>
    </row>
    <row r="308" spans="1:16" x14ac:dyDescent="0.3">
      <c r="A308" s="3" t="s">
        <v>756</v>
      </c>
      <c r="B308" s="15">
        <v>45981</v>
      </c>
      <c r="C308" s="15" t="str">
        <f t="shared" si="4"/>
        <v>November</v>
      </c>
      <c r="D308" s="3" t="s">
        <v>209</v>
      </c>
      <c r="E308" s="3" t="s">
        <v>51</v>
      </c>
      <c r="F308" s="3" t="s">
        <v>52</v>
      </c>
      <c r="G308" s="3" t="s">
        <v>20</v>
      </c>
      <c r="H308" s="3" t="s">
        <v>21</v>
      </c>
      <c r="I308" s="3" t="s">
        <v>68</v>
      </c>
      <c r="J308" s="5">
        <v>6</v>
      </c>
      <c r="K308" s="3">
        <v>129.99</v>
      </c>
      <c r="L308" s="7">
        <v>0.1</v>
      </c>
      <c r="M308" s="3" t="s">
        <v>47</v>
      </c>
      <c r="N308" s="3">
        <v>779.94</v>
      </c>
      <c r="O308" s="3">
        <v>77.989999999999995</v>
      </c>
      <c r="P308" s="3">
        <v>701.95</v>
      </c>
    </row>
    <row r="309" spans="1:16" x14ac:dyDescent="0.3">
      <c r="A309" s="3" t="s">
        <v>758</v>
      </c>
      <c r="B309" s="15">
        <v>45801</v>
      </c>
      <c r="C309" s="15" t="str">
        <f t="shared" si="4"/>
        <v>May</v>
      </c>
      <c r="D309" s="3" t="s">
        <v>759</v>
      </c>
      <c r="E309" s="3" t="s">
        <v>27</v>
      </c>
      <c r="F309" s="3" t="s">
        <v>123</v>
      </c>
      <c r="G309" s="3" t="s">
        <v>20</v>
      </c>
      <c r="H309" s="3" t="s">
        <v>35</v>
      </c>
      <c r="I309" s="3" t="s">
        <v>41</v>
      </c>
      <c r="J309" s="5">
        <v>3</v>
      </c>
      <c r="K309" s="3">
        <v>104.99</v>
      </c>
      <c r="L309" s="7">
        <v>0.1</v>
      </c>
      <c r="M309" s="3" t="s">
        <v>37</v>
      </c>
      <c r="N309" s="3">
        <v>314.97000000000003</v>
      </c>
      <c r="O309" s="3">
        <v>31.5</v>
      </c>
      <c r="P309" s="3">
        <v>283.47000000000003</v>
      </c>
    </row>
    <row r="310" spans="1:16" x14ac:dyDescent="0.3">
      <c r="A310" s="3" t="s">
        <v>760</v>
      </c>
      <c r="B310" s="15">
        <v>45706</v>
      </c>
      <c r="C310" s="15" t="str">
        <f t="shared" si="4"/>
        <v>February</v>
      </c>
      <c r="D310" s="3" t="s">
        <v>762</v>
      </c>
      <c r="E310" s="3" t="s">
        <v>32</v>
      </c>
      <c r="F310" s="3" t="s">
        <v>33</v>
      </c>
      <c r="G310" s="3" t="s">
        <v>34</v>
      </c>
      <c r="H310" s="3" t="s">
        <v>57</v>
      </c>
      <c r="I310" s="3" t="s">
        <v>189</v>
      </c>
      <c r="J310" s="5">
        <v>5</v>
      </c>
      <c r="K310" s="3">
        <v>119.99</v>
      </c>
      <c r="L310" s="7">
        <v>0.15</v>
      </c>
      <c r="M310" s="3" t="s">
        <v>80</v>
      </c>
      <c r="N310" s="3">
        <v>599.95000000000005</v>
      </c>
      <c r="O310" s="3">
        <v>89.99</v>
      </c>
      <c r="P310" s="3">
        <v>509.96</v>
      </c>
    </row>
    <row r="311" spans="1:16" x14ac:dyDescent="0.3">
      <c r="A311" s="3" t="s">
        <v>763</v>
      </c>
      <c r="B311" s="15">
        <v>45822</v>
      </c>
      <c r="C311" s="15" t="str">
        <f t="shared" si="4"/>
        <v>June</v>
      </c>
      <c r="D311" s="3" t="s">
        <v>438</v>
      </c>
      <c r="E311" s="3" t="s">
        <v>51</v>
      </c>
      <c r="F311" s="3" t="s">
        <v>108</v>
      </c>
      <c r="G311" s="3" t="s">
        <v>20</v>
      </c>
      <c r="H311" s="3" t="s">
        <v>57</v>
      </c>
      <c r="I311" s="3" t="s">
        <v>58</v>
      </c>
      <c r="J311" s="5">
        <v>2</v>
      </c>
      <c r="K311" s="3">
        <v>89.99</v>
      </c>
      <c r="L311" s="7">
        <v>0.15</v>
      </c>
      <c r="M311" s="3" t="s">
        <v>23</v>
      </c>
      <c r="N311" s="3">
        <v>179.98</v>
      </c>
      <c r="O311" s="3">
        <v>27</v>
      </c>
      <c r="P311" s="3">
        <v>152.97999999999999</v>
      </c>
    </row>
    <row r="312" spans="1:16" x14ac:dyDescent="0.3">
      <c r="A312" s="3" t="s">
        <v>764</v>
      </c>
      <c r="B312" s="15">
        <v>45850</v>
      </c>
      <c r="C312" s="15" t="str">
        <f t="shared" si="4"/>
        <v>July</v>
      </c>
      <c r="D312" s="3" t="s">
        <v>765</v>
      </c>
      <c r="E312" s="3" t="s">
        <v>32</v>
      </c>
      <c r="F312" s="3" t="s">
        <v>33</v>
      </c>
      <c r="G312" s="3" t="s">
        <v>20</v>
      </c>
      <c r="H312" s="3" t="s">
        <v>74</v>
      </c>
      <c r="I312" s="3" t="s">
        <v>112</v>
      </c>
      <c r="J312" s="5">
        <v>6</v>
      </c>
      <c r="K312" s="3">
        <v>129.99</v>
      </c>
      <c r="L312" s="7">
        <v>0.05</v>
      </c>
      <c r="M312" s="3" t="s">
        <v>80</v>
      </c>
      <c r="N312" s="3">
        <v>779.94</v>
      </c>
      <c r="O312" s="3">
        <v>39</v>
      </c>
      <c r="P312" s="3">
        <v>740.94</v>
      </c>
    </row>
    <row r="313" spans="1:16" x14ac:dyDescent="0.3">
      <c r="A313" s="3" t="s">
        <v>766</v>
      </c>
      <c r="B313" s="15">
        <v>45825</v>
      </c>
      <c r="C313" s="15" t="str">
        <f t="shared" si="4"/>
        <v>June</v>
      </c>
      <c r="D313" s="3" t="s">
        <v>139</v>
      </c>
      <c r="E313" s="3" t="s">
        <v>18</v>
      </c>
      <c r="F313" s="3" t="s">
        <v>56</v>
      </c>
      <c r="G313" s="3" t="s">
        <v>20</v>
      </c>
      <c r="H313" s="3" t="s">
        <v>74</v>
      </c>
      <c r="I313" s="3" t="s">
        <v>143</v>
      </c>
      <c r="J313" s="5">
        <v>4</v>
      </c>
      <c r="K313" s="3">
        <v>99.99</v>
      </c>
      <c r="L313" s="7">
        <v>0.05</v>
      </c>
      <c r="M313" s="3" t="s">
        <v>80</v>
      </c>
      <c r="N313" s="3">
        <v>399.96</v>
      </c>
      <c r="O313" s="3">
        <v>20</v>
      </c>
      <c r="P313" s="3">
        <v>379.96</v>
      </c>
    </row>
    <row r="314" spans="1:16" x14ac:dyDescent="0.3">
      <c r="A314" s="3" t="s">
        <v>767</v>
      </c>
      <c r="B314" s="15">
        <v>45769</v>
      </c>
      <c r="C314" s="15" t="str">
        <f t="shared" si="4"/>
        <v>April</v>
      </c>
      <c r="D314" s="3" t="s">
        <v>277</v>
      </c>
      <c r="E314" s="3" t="s">
        <v>18</v>
      </c>
      <c r="F314" s="3" t="s">
        <v>19</v>
      </c>
      <c r="G314" s="3" t="s">
        <v>34</v>
      </c>
      <c r="H314" s="3" t="s">
        <v>74</v>
      </c>
      <c r="I314" s="3" t="s">
        <v>143</v>
      </c>
      <c r="J314" s="5">
        <v>5</v>
      </c>
      <c r="K314" s="3">
        <v>99.99</v>
      </c>
      <c r="L314" s="7">
        <v>0.05</v>
      </c>
      <c r="M314" s="3" t="s">
        <v>47</v>
      </c>
      <c r="N314" s="3">
        <v>499.95</v>
      </c>
      <c r="O314" s="3">
        <v>25</v>
      </c>
      <c r="P314" s="3">
        <v>474.95</v>
      </c>
    </row>
    <row r="315" spans="1:16" x14ac:dyDescent="0.3">
      <c r="A315" s="3" t="s">
        <v>768</v>
      </c>
      <c r="B315" s="15">
        <v>45953</v>
      </c>
      <c r="C315" s="15" t="str">
        <f t="shared" si="4"/>
        <v>October</v>
      </c>
      <c r="D315" s="3" t="s">
        <v>557</v>
      </c>
      <c r="E315" s="3" t="s">
        <v>18</v>
      </c>
      <c r="F315" s="3" t="s">
        <v>56</v>
      </c>
      <c r="G315" s="3" t="s">
        <v>34</v>
      </c>
      <c r="H315" s="3" t="s">
        <v>74</v>
      </c>
      <c r="I315" s="3" t="s">
        <v>75</v>
      </c>
      <c r="J315" s="5">
        <v>3</v>
      </c>
      <c r="K315" s="3">
        <v>299.99</v>
      </c>
      <c r="L315" s="7">
        <v>0.1</v>
      </c>
      <c r="M315" s="3" t="s">
        <v>37</v>
      </c>
      <c r="N315" s="3">
        <v>899.97</v>
      </c>
      <c r="O315" s="3">
        <v>90</v>
      </c>
      <c r="P315" s="3">
        <v>809.97</v>
      </c>
    </row>
    <row r="316" spans="1:16" x14ac:dyDescent="0.3">
      <c r="A316" s="3" t="s">
        <v>769</v>
      </c>
      <c r="B316" s="15">
        <v>45721</v>
      </c>
      <c r="C316" s="15" t="str">
        <f t="shared" si="4"/>
        <v>March</v>
      </c>
      <c r="D316" s="3" t="s">
        <v>122</v>
      </c>
      <c r="E316" s="3" t="s">
        <v>27</v>
      </c>
      <c r="F316" s="3" t="s">
        <v>123</v>
      </c>
      <c r="G316" s="3" t="s">
        <v>20</v>
      </c>
      <c r="H316" s="3" t="s">
        <v>21</v>
      </c>
      <c r="I316" s="3" t="s">
        <v>22</v>
      </c>
      <c r="J316" s="5">
        <v>4</v>
      </c>
      <c r="K316" s="3">
        <v>89.99</v>
      </c>
      <c r="L316" s="7">
        <v>0</v>
      </c>
      <c r="M316" s="3" t="s">
        <v>23</v>
      </c>
      <c r="N316" s="3">
        <v>359.96</v>
      </c>
      <c r="O316" s="3">
        <v>0</v>
      </c>
      <c r="P316" s="3">
        <v>359.96</v>
      </c>
    </row>
    <row r="317" spans="1:16" x14ac:dyDescent="0.3">
      <c r="A317" s="3" t="s">
        <v>770</v>
      </c>
      <c r="B317" s="15">
        <v>45990</v>
      </c>
      <c r="C317" s="15" t="str">
        <f t="shared" si="4"/>
        <v>November</v>
      </c>
      <c r="D317" s="3" t="s">
        <v>663</v>
      </c>
      <c r="E317" s="3" t="s">
        <v>72</v>
      </c>
      <c r="F317" s="3" t="s">
        <v>73</v>
      </c>
      <c r="G317" s="3" t="s">
        <v>20</v>
      </c>
      <c r="H317" s="3" t="s">
        <v>74</v>
      </c>
      <c r="I317" s="3" t="s">
        <v>112</v>
      </c>
      <c r="J317" s="5">
        <v>6</v>
      </c>
      <c r="K317" s="3">
        <v>129.99</v>
      </c>
      <c r="L317" s="7">
        <v>0</v>
      </c>
      <c r="M317" s="3" t="s">
        <v>37</v>
      </c>
      <c r="N317" s="3">
        <v>779.94</v>
      </c>
      <c r="O317" s="3">
        <v>0</v>
      </c>
      <c r="P317" s="3">
        <v>779.94</v>
      </c>
    </row>
    <row r="318" spans="1:16" x14ac:dyDescent="0.3">
      <c r="A318" s="3" t="s">
        <v>771</v>
      </c>
      <c r="B318" s="15">
        <v>45990</v>
      </c>
      <c r="C318" s="15" t="str">
        <f t="shared" si="4"/>
        <v>November</v>
      </c>
      <c r="D318" s="3" t="s">
        <v>546</v>
      </c>
      <c r="E318" s="3" t="s">
        <v>18</v>
      </c>
      <c r="F318" s="3" t="s">
        <v>19</v>
      </c>
      <c r="G318" s="3" t="s">
        <v>20</v>
      </c>
      <c r="H318" s="3" t="s">
        <v>21</v>
      </c>
      <c r="I318" s="3" t="s">
        <v>87</v>
      </c>
      <c r="J318" s="5">
        <v>3</v>
      </c>
      <c r="K318" s="3">
        <v>149.99</v>
      </c>
      <c r="L318" s="7">
        <v>0.15</v>
      </c>
      <c r="M318" s="3" t="s">
        <v>23</v>
      </c>
      <c r="N318" s="3">
        <v>449.97</v>
      </c>
      <c r="O318" s="3">
        <v>67.5</v>
      </c>
      <c r="P318" s="3">
        <v>382.47</v>
      </c>
    </row>
    <row r="319" spans="1:16" x14ac:dyDescent="0.3">
      <c r="A319" s="3" t="s">
        <v>772</v>
      </c>
      <c r="B319" s="15">
        <v>45658</v>
      </c>
      <c r="C319" s="15" t="str">
        <f t="shared" si="4"/>
        <v>January</v>
      </c>
      <c r="D319" s="3" t="s">
        <v>66</v>
      </c>
      <c r="E319" s="3" t="s">
        <v>72</v>
      </c>
      <c r="F319" s="3" t="s">
        <v>73</v>
      </c>
      <c r="G319" s="3" t="s">
        <v>34</v>
      </c>
      <c r="H319" s="3" t="s">
        <v>57</v>
      </c>
      <c r="I319" s="3" t="s">
        <v>58</v>
      </c>
      <c r="J319" s="5">
        <v>6</v>
      </c>
      <c r="K319" s="3">
        <v>89.99</v>
      </c>
      <c r="L319" s="7">
        <v>0</v>
      </c>
      <c r="M319" s="3" t="s">
        <v>80</v>
      </c>
      <c r="N319" s="3">
        <v>539.94000000000005</v>
      </c>
      <c r="O319" s="3">
        <v>0</v>
      </c>
      <c r="P319" s="3">
        <v>539.94000000000005</v>
      </c>
    </row>
    <row r="320" spans="1:16" x14ac:dyDescent="0.3">
      <c r="A320" s="3" t="s">
        <v>774</v>
      </c>
      <c r="B320" s="15">
        <v>46014</v>
      </c>
      <c r="C320" s="15" t="str">
        <f t="shared" si="4"/>
        <v>December</v>
      </c>
      <c r="D320" s="3" t="s">
        <v>323</v>
      </c>
      <c r="E320" s="3" t="s">
        <v>32</v>
      </c>
      <c r="F320" s="3" t="s">
        <v>33</v>
      </c>
      <c r="G320" s="3" t="s">
        <v>20</v>
      </c>
      <c r="H320" s="3" t="s">
        <v>35</v>
      </c>
      <c r="I320" s="3" t="s">
        <v>41</v>
      </c>
      <c r="J320" s="5">
        <v>1</v>
      </c>
      <c r="K320" s="3">
        <v>104.99</v>
      </c>
      <c r="L320" s="7">
        <v>0</v>
      </c>
      <c r="M320" s="3" t="s">
        <v>23</v>
      </c>
      <c r="N320" s="3">
        <v>104.99</v>
      </c>
      <c r="O320" s="3">
        <v>0</v>
      </c>
      <c r="P320" s="3">
        <v>104.99</v>
      </c>
    </row>
    <row r="321" spans="1:16" x14ac:dyDescent="0.3">
      <c r="A321" s="3" t="s">
        <v>775</v>
      </c>
      <c r="B321" s="15">
        <v>45710</v>
      </c>
      <c r="C321" s="15" t="str">
        <f t="shared" si="4"/>
        <v>February</v>
      </c>
      <c r="D321" s="3" t="s">
        <v>507</v>
      </c>
      <c r="E321" s="3" t="s">
        <v>27</v>
      </c>
      <c r="F321" s="3" t="s">
        <v>28</v>
      </c>
      <c r="G321" s="3" t="s">
        <v>34</v>
      </c>
      <c r="H321" s="3" t="s">
        <v>35</v>
      </c>
      <c r="I321" s="3" t="s">
        <v>36</v>
      </c>
      <c r="J321" s="5">
        <v>4</v>
      </c>
      <c r="K321" s="3">
        <v>79.989999999999995</v>
      </c>
      <c r="L321" s="7">
        <v>0</v>
      </c>
      <c r="M321" s="3" t="s">
        <v>37</v>
      </c>
      <c r="N321" s="3">
        <v>319.95999999999998</v>
      </c>
      <c r="O321" s="3">
        <v>0</v>
      </c>
      <c r="P321" s="3">
        <v>319.95999999999998</v>
      </c>
    </row>
    <row r="322" spans="1:16" x14ac:dyDescent="0.3">
      <c r="A322" s="3" t="s">
        <v>776</v>
      </c>
      <c r="B322" s="15">
        <v>45731</v>
      </c>
      <c r="C322" s="15" t="str">
        <f t="shared" ref="C322:C385" si="5">TEXT(B322,"mmmm")</f>
        <v>March</v>
      </c>
      <c r="D322" s="3" t="s">
        <v>337</v>
      </c>
      <c r="E322" s="3" t="s">
        <v>72</v>
      </c>
      <c r="F322" s="3" t="s">
        <v>73</v>
      </c>
      <c r="G322" s="3" t="s">
        <v>20</v>
      </c>
      <c r="H322" s="3" t="s">
        <v>57</v>
      </c>
      <c r="I322" s="3" t="s">
        <v>58</v>
      </c>
      <c r="J322" s="5">
        <v>6</v>
      </c>
      <c r="K322" s="3">
        <v>89.99</v>
      </c>
      <c r="L322" s="7">
        <v>0.15</v>
      </c>
      <c r="M322" s="3" t="s">
        <v>47</v>
      </c>
      <c r="N322" s="3">
        <v>539.94000000000005</v>
      </c>
      <c r="O322" s="3">
        <v>80.989999999999995</v>
      </c>
      <c r="P322" s="3">
        <v>458.95</v>
      </c>
    </row>
    <row r="323" spans="1:16" x14ac:dyDescent="0.3">
      <c r="A323" s="3" t="s">
        <v>777</v>
      </c>
      <c r="B323" s="15">
        <v>46009</v>
      </c>
      <c r="C323" s="15" t="str">
        <f t="shared" si="5"/>
        <v>December</v>
      </c>
      <c r="D323" s="3" t="s">
        <v>312</v>
      </c>
      <c r="E323" s="3" t="s">
        <v>51</v>
      </c>
      <c r="F323" s="3" t="s">
        <v>108</v>
      </c>
      <c r="G323" s="3" t="s">
        <v>20</v>
      </c>
      <c r="H323" s="3" t="s">
        <v>74</v>
      </c>
      <c r="I323" s="3" t="s">
        <v>75</v>
      </c>
      <c r="J323" s="5">
        <v>4</v>
      </c>
      <c r="K323" s="3">
        <v>299.99</v>
      </c>
      <c r="L323" s="7">
        <v>0.1</v>
      </c>
      <c r="M323" s="3" t="s">
        <v>80</v>
      </c>
      <c r="N323" s="3">
        <v>1199.96</v>
      </c>
      <c r="O323" s="3">
        <v>120</v>
      </c>
      <c r="P323" s="3">
        <v>1079.96</v>
      </c>
    </row>
    <row r="324" spans="1:16" x14ac:dyDescent="0.3">
      <c r="A324" s="3" t="s">
        <v>779</v>
      </c>
      <c r="B324" s="15">
        <v>45837</v>
      </c>
      <c r="C324" s="15" t="str">
        <f t="shared" si="5"/>
        <v>June</v>
      </c>
      <c r="D324" s="3" t="s">
        <v>780</v>
      </c>
      <c r="E324" s="3" t="s">
        <v>27</v>
      </c>
      <c r="F324" s="3" t="s">
        <v>123</v>
      </c>
      <c r="G324" s="3" t="s">
        <v>34</v>
      </c>
      <c r="H324" s="3" t="s">
        <v>21</v>
      </c>
      <c r="I324" s="3" t="s">
        <v>68</v>
      </c>
      <c r="J324" s="5">
        <v>6</v>
      </c>
      <c r="K324" s="3">
        <v>129.99</v>
      </c>
      <c r="L324" s="7">
        <v>0.05</v>
      </c>
      <c r="M324" s="3" t="s">
        <v>37</v>
      </c>
      <c r="N324" s="3">
        <v>779.94</v>
      </c>
      <c r="O324" s="3">
        <v>39</v>
      </c>
      <c r="P324" s="3">
        <v>740.94</v>
      </c>
    </row>
    <row r="325" spans="1:16" x14ac:dyDescent="0.3">
      <c r="A325" s="3" t="s">
        <v>781</v>
      </c>
      <c r="B325" s="15">
        <v>45965</v>
      </c>
      <c r="C325" s="15" t="str">
        <f t="shared" si="5"/>
        <v>November</v>
      </c>
      <c r="D325" s="3" t="s">
        <v>406</v>
      </c>
      <c r="E325" s="3" t="s">
        <v>18</v>
      </c>
      <c r="F325" s="3" t="s">
        <v>19</v>
      </c>
      <c r="G325" s="3" t="s">
        <v>34</v>
      </c>
      <c r="H325" s="3" t="s">
        <v>35</v>
      </c>
      <c r="I325" s="3" t="s">
        <v>41</v>
      </c>
      <c r="J325" s="5">
        <v>2</v>
      </c>
      <c r="K325" s="3">
        <v>104.99</v>
      </c>
      <c r="L325" s="7">
        <v>0.1</v>
      </c>
      <c r="M325" s="3" t="s">
        <v>80</v>
      </c>
      <c r="N325" s="3">
        <v>209.98</v>
      </c>
      <c r="O325" s="3">
        <v>21</v>
      </c>
      <c r="P325" s="3">
        <v>188.98</v>
      </c>
    </row>
    <row r="326" spans="1:16" x14ac:dyDescent="0.3">
      <c r="A326" s="3" t="s">
        <v>783</v>
      </c>
      <c r="B326" s="15">
        <v>45809</v>
      </c>
      <c r="C326" s="15" t="str">
        <f t="shared" si="5"/>
        <v>June</v>
      </c>
      <c r="D326" s="3" t="s">
        <v>784</v>
      </c>
      <c r="E326" s="3" t="s">
        <v>32</v>
      </c>
      <c r="F326" s="3" t="s">
        <v>45</v>
      </c>
      <c r="G326" s="3" t="s">
        <v>20</v>
      </c>
      <c r="H326" s="3" t="s">
        <v>57</v>
      </c>
      <c r="I326" s="3" t="s">
        <v>58</v>
      </c>
      <c r="J326" s="5">
        <v>6</v>
      </c>
      <c r="K326" s="3">
        <v>89.99</v>
      </c>
      <c r="L326" s="7">
        <v>0.05</v>
      </c>
      <c r="M326" s="3" t="s">
        <v>47</v>
      </c>
      <c r="N326" s="3">
        <v>539.94000000000005</v>
      </c>
      <c r="O326" s="3">
        <v>27</v>
      </c>
      <c r="P326" s="3">
        <v>512.94000000000005</v>
      </c>
    </row>
    <row r="327" spans="1:16" x14ac:dyDescent="0.3">
      <c r="A327" s="3" t="s">
        <v>785</v>
      </c>
      <c r="B327" s="15">
        <v>45962</v>
      </c>
      <c r="C327" s="15" t="str">
        <f t="shared" si="5"/>
        <v>November</v>
      </c>
      <c r="D327" s="3" t="s">
        <v>787</v>
      </c>
      <c r="E327" s="3" t="s">
        <v>27</v>
      </c>
      <c r="F327" s="3" t="s">
        <v>28</v>
      </c>
      <c r="G327" s="3" t="s">
        <v>20</v>
      </c>
      <c r="H327" s="3" t="s">
        <v>74</v>
      </c>
      <c r="I327" s="3" t="s">
        <v>75</v>
      </c>
      <c r="J327" s="5">
        <v>4</v>
      </c>
      <c r="K327" s="3">
        <v>299.99</v>
      </c>
      <c r="L327" s="7">
        <v>0.15</v>
      </c>
      <c r="M327" s="3" t="s">
        <v>37</v>
      </c>
      <c r="N327" s="3">
        <v>1199.96</v>
      </c>
      <c r="O327" s="3">
        <v>179.99</v>
      </c>
      <c r="P327" s="3">
        <v>1019.97</v>
      </c>
    </row>
    <row r="328" spans="1:16" x14ac:dyDescent="0.3">
      <c r="A328" s="3" t="s">
        <v>788</v>
      </c>
      <c r="B328" s="15">
        <v>46007</v>
      </c>
      <c r="C328" s="15" t="str">
        <f t="shared" si="5"/>
        <v>December</v>
      </c>
      <c r="D328" s="3" t="s">
        <v>429</v>
      </c>
      <c r="E328" s="3" t="s">
        <v>72</v>
      </c>
      <c r="F328" s="3" t="s">
        <v>152</v>
      </c>
      <c r="G328" s="3" t="s">
        <v>34</v>
      </c>
      <c r="H328" s="3" t="s">
        <v>57</v>
      </c>
      <c r="I328" s="3" t="s">
        <v>58</v>
      </c>
      <c r="J328" s="5">
        <v>3</v>
      </c>
      <c r="K328" s="3">
        <v>89.99</v>
      </c>
      <c r="L328" s="7">
        <v>0.1</v>
      </c>
      <c r="M328" s="3" t="s">
        <v>80</v>
      </c>
      <c r="N328" s="3">
        <v>269.97000000000003</v>
      </c>
      <c r="O328" s="3">
        <v>27</v>
      </c>
      <c r="P328" s="3">
        <v>242.97</v>
      </c>
    </row>
    <row r="329" spans="1:16" x14ac:dyDescent="0.3">
      <c r="A329" s="3" t="s">
        <v>790</v>
      </c>
      <c r="B329" s="15">
        <v>45688</v>
      </c>
      <c r="C329" s="15" t="str">
        <f t="shared" si="5"/>
        <v>January</v>
      </c>
      <c r="D329" s="3" t="s">
        <v>372</v>
      </c>
      <c r="E329" s="3" t="s">
        <v>27</v>
      </c>
      <c r="F329" s="3" t="s">
        <v>67</v>
      </c>
      <c r="G329" s="3" t="s">
        <v>34</v>
      </c>
      <c r="H329" s="3" t="s">
        <v>21</v>
      </c>
      <c r="I329" s="3" t="s">
        <v>22</v>
      </c>
      <c r="J329" s="5">
        <v>2</v>
      </c>
      <c r="K329" s="3">
        <v>89.99</v>
      </c>
      <c r="L329" s="7">
        <v>0</v>
      </c>
      <c r="M329" s="3" t="s">
        <v>37</v>
      </c>
      <c r="N329" s="3">
        <v>179.98</v>
      </c>
      <c r="O329" s="3">
        <v>0</v>
      </c>
      <c r="P329" s="3">
        <v>179.98</v>
      </c>
    </row>
    <row r="330" spans="1:16" x14ac:dyDescent="0.3">
      <c r="A330" s="3" t="s">
        <v>792</v>
      </c>
      <c r="B330" s="15">
        <v>45932</v>
      </c>
      <c r="C330" s="15" t="str">
        <f t="shared" si="5"/>
        <v>October</v>
      </c>
      <c r="D330" s="3" t="s">
        <v>794</v>
      </c>
      <c r="E330" s="3" t="s">
        <v>72</v>
      </c>
      <c r="F330" s="3" t="s">
        <v>152</v>
      </c>
      <c r="G330" s="3" t="s">
        <v>20</v>
      </c>
      <c r="H330" s="3" t="s">
        <v>62</v>
      </c>
      <c r="I330" s="3" t="s">
        <v>79</v>
      </c>
      <c r="J330" s="5">
        <v>1</v>
      </c>
      <c r="K330" s="3">
        <v>249.99</v>
      </c>
      <c r="L330" s="7">
        <v>0.15</v>
      </c>
      <c r="M330" s="3" t="s">
        <v>37</v>
      </c>
      <c r="N330" s="3">
        <v>249.99</v>
      </c>
      <c r="O330" s="3">
        <v>37.5</v>
      </c>
      <c r="P330" s="3">
        <v>212.49</v>
      </c>
    </row>
    <row r="331" spans="1:16" x14ac:dyDescent="0.3">
      <c r="A331" s="3" t="s">
        <v>795</v>
      </c>
      <c r="B331" s="15">
        <v>45932</v>
      </c>
      <c r="C331" s="15" t="str">
        <f t="shared" si="5"/>
        <v>October</v>
      </c>
      <c r="D331" s="3" t="s">
        <v>232</v>
      </c>
      <c r="E331" s="3" t="s">
        <v>27</v>
      </c>
      <c r="F331" s="3" t="s">
        <v>123</v>
      </c>
      <c r="G331" s="3" t="s">
        <v>34</v>
      </c>
      <c r="H331" s="3" t="s">
        <v>21</v>
      </c>
      <c r="I331" s="3" t="s">
        <v>87</v>
      </c>
      <c r="J331" s="5">
        <v>2</v>
      </c>
      <c r="K331" s="3">
        <v>149.99</v>
      </c>
      <c r="L331" s="7">
        <v>0</v>
      </c>
      <c r="M331" s="3" t="s">
        <v>80</v>
      </c>
      <c r="N331" s="3">
        <v>299.98</v>
      </c>
      <c r="O331" s="3">
        <v>0</v>
      </c>
      <c r="P331" s="3">
        <v>299.98</v>
      </c>
    </row>
    <row r="332" spans="1:16" x14ac:dyDescent="0.3">
      <c r="A332" s="3" t="s">
        <v>796</v>
      </c>
      <c r="B332" s="15">
        <v>45880</v>
      </c>
      <c r="C332" s="15" t="str">
        <f t="shared" si="5"/>
        <v>August</v>
      </c>
      <c r="D332" s="3" t="s">
        <v>369</v>
      </c>
      <c r="E332" s="3" t="s">
        <v>51</v>
      </c>
      <c r="F332" s="3" t="s">
        <v>108</v>
      </c>
      <c r="G332" s="3" t="s">
        <v>34</v>
      </c>
      <c r="H332" s="3" t="s">
        <v>57</v>
      </c>
      <c r="I332" s="3" t="s">
        <v>130</v>
      </c>
      <c r="J332" s="5">
        <v>2</v>
      </c>
      <c r="K332" s="3">
        <v>109.99</v>
      </c>
      <c r="L332" s="7">
        <v>0</v>
      </c>
      <c r="M332" s="3" t="s">
        <v>80</v>
      </c>
      <c r="N332" s="3">
        <v>219.98</v>
      </c>
      <c r="O332" s="3">
        <v>0</v>
      </c>
      <c r="P332" s="3">
        <v>219.98</v>
      </c>
    </row>
    <row r="333" spans="1:16" x14ac:dyDescent="0.3">
      <c r="A333" s="3" t="s">
        <v>798</v>
      </c>
      <c r="B333" s="15">
        <v>46017</v>
      </c>
      <c r="C333" s="15" t="str">
        <f t="shared" si="5"/>
        <v>December</v>
      </c>
      <c r="D333" s="3" t="s">
        <v>146</v>
      </c>
      <c r="E333" s="3" t="s">
        <v>27</v>
      </c>
      <c r="F333" s="3" t="s">
        <v>28</v>
      </c>
      <c r="G333" s="3" t="s">
        <v>20</v>
      </c>
      <c r="H333" s="3" t="s">
        <v>57</v>
      </c>
      <c r="I333" s="3" t="s">
        <v>58</v>
      </c>
      <c r="J333" s="5">
        <v>6</v>
      </c>
      <c r="K333" s="3">
        <v>89.99</v>
      </c>
      <c r="L333" s="7">
        <v>0</v>
      </c>
      <c r="M333" s="3" t="s">
        <v>23</v>
      </c>
      <c r="N333" s="3">
        <v>539.94000000000005</v>
      </c>
      <c r="O333" s="3">
        <v>0</v>
      </c>
      <c r="P333" s="3">
        <v>539.94000000000005</v>
      </c>
    </row>
    <row r="334" spans="1:16" x14ac:dyDescent="0.3">
      <c r="A334" s="3" t="s">
        <v>799</v>
      </c>
      <c r="B334" s="15">
        <v>45795</v>
      </c>
      <c r="C334" s="15" t="str">
        <f t="shared" si="5"/>
        <v>May</v>
      </c>
      <c r="D334" s="3" t="s">
        <v>95</v>
      </c>
      <c r="E334" s="3" t="s">
        <v>51</v>
      </c>
      <c r="F334" s="3" t="s">
        <v>52</v>
      </c>
      <c r="G334" s="3" t="s">
        <v>20</v>
      </c>
      <c r="H334" s="3" t="s">
        <v>57</v>
      </c>
      <c r="I334" s="3" t="s">
        <v>189</v>
      </c>
      <c r="J334" s="5">
        <v>2</v>
      </c>
      <c r="K334" s="3">
        <v>119.99</v>
      </c>
      <c r="L334" s="7">
        <v>0.15</v>
      </c>
      <c r="M334" s="3" t="s">
        <v>80</v>
      </c>
      <c r="N334" s="3">
        <v>239.98</v>
      </c>
      <c r="O334" s="3">
        <v>36</v>
      </c>
      <c r="P334" s="3">
        <v>203.98</v>
      </c>
    </row>
    <row r="335" spans="1:16" x14ac:dyDescent="0.3">
      <c r="A335" s="3" t="s">
        <v>801</v>
      </c>
      <c r="B335" s="15">
        <v>45953</v>
      </c>
      <c r="C335" s="15" t="str">
        <f t="shared" si="5"/>
        <v>October</v>
      </c>
      <c r="D335" s="3" t="s">
        <v>654</v>
      </c>
      <c r="E335" s="3" t="s">
        <v>18</v>
      </c>
      <c r="F335" s="3" t="s">
        <v>19</v>
      </c>
      <c r="G335" s="3" t="s">
        <v>20</v>
      </c>
      <c r="H335" s="3" t="s">
        <v>57</v>
      </c>
      <c r="I335" s="3" t="s">
        <v>130</v>
      </c>
      <c r="J335" s="5">
        <v>3</v>
      </c>
      <c r="K335" s="3">
        <v>109.99</v>
      </c>
      <c r="L335" s="7">
        <v>0.15</v>
      </c>
      <c r="M335" s="3" t="s">
        <v>23</v>
      </c>
      <c r="N335" s="3">
        <v>329.97</v>
      </c>
      <c r="O335" s="3">
        <v>49.5</v>
      </c>
      <c r="P335" s="3">
        <v>280.47000000000003</v>
      </c>
    </row>
    <row r="336" spans="1:16" x14ac:dyDescent="0.3">
      <c r="A336" s="3" t="s">
        <v>802</v>
      </c>
      <c r="B336" s="15">
        <v>45743</v>
      </c>
      <c r="C336" s="15" t="str">
        <f t="shared" si="5"/>
        <v>March</v>
      </c>
      <c r="D336" s="3" t="s">
        <v>453</v>
      </c>
      <c r="E336" s="3" t="s">
        <v>18</v>
      </c>
      <c r="F336" s="3" t="s">
        <v>19</v>
      </c>
      <c r="G336" s="3" t="s">
        <v>20</v>
      </c>
      <c r="H336" s="3" t="s">
        <v>74</v>
      </c>
      <c r="I336" s="3" t="s">
        <v>143</v>
      </c>
      <c r="J336" s="5">
        <v>4</v>
      </c>
      <c r="K336" s="3">
        <v>99.99</v>
      </c>
      <c r="L336" s="7">
        <v>0.1</v>
      </c>
      <c r="M336" s="3" t="s">
        <v>37</v>
      </c>
      <c r="N336" s="3">
        <v>399.96</v>
      </c>
      <c r="O336" s="3">
        <v>40</v>
      </c>
      <c r="P336" s="3">
        <v>359.96</v>
      </c>
    </row>
    <row r="337" spans="1:16" x14ac:dyDescent="0.3">
      <c r="A337" s="3" t="s">
        <v>804</v>
      </c>
      <c r="B337" s="15">
        <v>45783</v>
      </c>
      <c r="C337" s="15" t="str">
        <f t="shared" si="5"/>
        <v>May</v>
      </c>
      <c r="D337" s="3" t="s">
        <v>806</v>
      </c>
      <c r="E337" s="3" t="s">
        <v>51</v>
      </c>
      <c r="F337" s="3" t="s">
        <v>108</v>
      </c>
      <c r="G337" s="3" t="s">
        <v>34</v>
      </c>
      <c r="H337" s="3" t="s">
        <v>21</v>
      </c>
      <c r="I337" s="3" t="s">
        <v>22</v>
      </c>
      <c r="J337" s="5">
        <v>1</v>
      </c>
      <c r="K337" s="3">
        <v>89.99</v>
      </c>
      <c r="L337" s="7">
        <v>0</v>
      </c>
      <c r="M337" s="3" t="s">
        <v>37</v>
      </c>
      <c r="N337" s="3">
        <v>89.99</v>
      </c>
      <c r="O337" s="3">
        <v>0</v>
      </c>
      <c r="P337" s="3">
        <v>89.99</v>
      </c>
    </row>
    <row r="338" spans="1:16" x14ac:dyDescent="0.3">
      <c r="A338" s="3" t="s">
        <v>807</v>
      </c>
      <c r="B338" s="15">
        <v>45993</v>
      </c>
      <c r="C338" s="15" t="str">
        <f t="shared" si="5"/>
        <v>December</v>
      </c>
      <c r="D338" s="3" t="s">
        <v>418</v>
      </c>
      <c r="E338" s="3" t="s">
        <v>51</v>
      </c>
      <c r="F338" s="3" t="s">
        <v>108</v>
      </c>
      <c r="G338" s="3" t="s">
        <v>20</v>
      </c>
      <c r="H338" s="3" t="s">
        <v>74</v>
      </c>
      <c r="I338" s="3" t="s">
        <v>112</v>
      </c>
      <c r="J338" s="5">
        <v>5</v>
      </c>
      <c r="K338" s="3">
        <v>129.99</v>
      </c>
      <c r="L338" s="7">
        <v>0.15</v>
      </c>
      <c r="M338" s="3" t="s">
        <v>37</v>
      </c>
      <c r="N338" s="3">
        <v>649.95000000000005</v>
      </c>
      <c r="O338" s="3">
        <v>97.49</v>
      </c>
      <c r="P338" s="3">
        <v>552.46</v>
      </c>
    </row>
    <row r="339" spans="1:16" x14ac:dyDescent="0.3">
      <c r="A339" s="3" t="s">
        <v>809</v>
      </c>
      <c r="B339" s="15">
        <v>45848</v>
      </c>
      <c r="C339" s="15" t="str">
        <f t="shared" si="5"/>
        <v>July</v>
      </c>
      <c r="D339" s="3" t="s">
        <v>534</v>
      </c>
      <c r="E339" s="3" t="s">
        <v>18</v>
      </c>
      <c r="F339" s="3" t="s">
        <v>56</v>
      </c>
      <c r="G339" s="3" t="s">
        <v>20</v>
      </c>
      <c r="H339" s="3" t="s">
        <v>35</v>
      </c>
      <c r="I339" s="3" t="s">
        <v>36</v>
      </c>
      <c r="J339" s="5">
        <v>1</v>
      </c>
      <c r="K339" s="3">
        <v>79.989999999999995</v>
      </c>
      <c r="L339" s="7">
        <v>0.1</v>
      </c>
      <c r="M339" s="3" t="s">
        <v>47</v>
      </c>
      <c r="N339" s="3">
        <v>79.989999999999995</v>
      </c>
      <c r="O339" s="3">
        <v>8</v>
      </c>
      <c r="P339" s="3">
        <v>71.989999999999995</v>
      </c>
    </row>
    <row r="340" spans="1:16" x14ac:dyDescent="0.3">
      <c r="A340" s="3" t="s">
        <v>811</v>
      </c>
      <c r="B340" s="15">
        <v>45817</v>
      </c>
      <c r="C340" s="15" t="str">
        <f t="shared" si="5"/>
        <v>June</v>
      </c>
      <c r="D340" s="3" t="s">
        <v>232</v>
      </c>
      <c r="E340" s="3" t="s">
        <v>72</v>
      </c>
      <c r="F340" s="3" t="s">
        <v>73</v>
      </c>
      <c r="G340" s="3" t="s">
        <v>20</v>
      </c>
      <c r="H340" s="3" t="s">
        <v>35</v>
      </c>
      <c r="I340" s="3" t="s">
        <v>199</v>
      </c>
      <c r="J340" s="5">
        <v>4</v>
      </c>
      <c r="K340" s="3">
        <v>99.99</v>
      </c>
      <c r="L340" s="7">
        <v>0</v>
      </c>
      <c r="M340" s="3" t="s">
        <v>23</v>
      </c>
      <c r="N340" s="3">
        <v>399.96</v>
      </c>
      <c r="O340" s="3">
        <v>0</v>
      </c>
      <c r="P340" s="3">
        <v>399.96</v>
      </c>
    </row>
    <row r="341" spans="1:16" x14ac:dyDescent="0.3">
      <c r="A341" s="3" t="s">
        <v>813</v>
      </c>
      <c r="B341" s="15">
        <v>45976</v>
      </c>
      <c r="C341" s="15" t="str">
        <f t="shared" si="5"/>
        <v>November</v>
      </c>
      <c r="D341" s="3" t="s">
        <v>243</v>
      </c>
      <c r="E341" s="3" t="s">
        <v>51</v>
      </c>
      <c r="F341" s="3" t="s">
        <v>52</v>
      </c>
      <c r="G341" s="3" t="s">
        <v>34</v>
      </c>
      <c r="H341" s="3" t="s">
        <v>21</v>
      </c>
      <c r="I341" s="3" t="s">
        <v>87</v>
      </c>
      <c r="J341" s="5">
        <v>5</v>
      </c>
      <c r="K341" s="3">
        <v>149.99</v>
      </c>
      <c r="L341" s="7">
        <v>0</v>
      </c>
      <c r="M341" s="3" t="s">
        <v>37</v>
      </c>
      <c r="N341" s="3">
        <v>749.95</v>
      </c>
      <c r="O341" s="3">
        <v>0</v>
      </c>
      <c r="P341" s="3">
        <v>749.95</v>
      </c>
    </row>
    <row r="342" spans="1:16" x14ac:dyDescent="0.3">
      <c r="A342" s="3" t="s">
        <v>815</v>
      </c>
      <c r="B342" s="15">
        <v>45867</v>
      </c>
      <c r="C342" s="15" t="str">
        <f t="shared" si="5"/>
        <v>July</v>
      </c>
      <c r="D342" s="3" t="s">
        <v>26</v>
      </c>
      <c r="E342" s="3" t="s">
        <v>51</v>
      </c>
      <c r="F342" s="3" t="s">
        <v>108</v>
      </c>
      <c r="G342" s="3" t="s">
        <v>20</v>
      </c>
      <c r="H342" s="3" t="s">
        <v>62</v>
      </c>
      <c r="I342" s="3" t="s">
        <v>79</v>
      </c>
      <c r="J342" s="5">
        <v>2</v>
      </c>
      <c r="K342" s="3">
        <v>249.99</v>
      </c>
      <c r="L342" s="7">
        <v>0</v>
      </c>
      <c r="M342" s="3" t="s">
        <v>37</v>
      </c>
      <c r="N342" s="3">
        <v>499.98</v>
      </c>
      <c r="O342" s="3">
        <v>0</v>
      </c>
      <c r="P342" s="3">
        <v>499.98</v>
      </c>
    </row>
    <row r="343" spans="1:16" x14ac:dyDescent="0.3">
      <c r="A343" s="3" t="s">
        <v>816</v>
      </c>
      <c r="B343" s="15">
        <v>45815</v>
      </c>
      <c r="C343" s="15" t="str">
        <f t="shared" si="5"/>
        <v>June</v>
      </c>
      <c r="D343" s="3" t="s">
        <v>507</v>
      </c>
      <c r="E343" s="3" t="s">
        <v>27</v>
      </c>
      <c r="F343" s="3" t="s">
        <v>123</v>
      </c>
      <c r="G343" s="3" t="s">
        <v>20</v>
      </c>
      <c r="H343" s="3" t="s">
        <v>21</v>
      </c>
      <c r="I343" s="3" t="s">
        <v>87</v>
      </c>
      <c r="J343" s="5">
        <v>4</v>
      </c>
      <c r="K343" s="3">
        <v>149.99</v>
      </c>
      <c r="L343" s="7">
        <v>0.15</v>
      </c>
      <c r="M343" s="3" t="s">
        <v>47</v>
      </c>
      <c r="N343" s="3">
        <v>599.96</v>
      </c>
      <c r="O343" s="3">
        <v>89.99</v>
      </c>
      <c r="P343" s="3">
        <v>509.97</v>
      </c>
    </row>
    <row r="344" spans="1:16" x14ac:dyDescent="0.3">
      <c r="A344" s="3" t="s">
        <v>818</v>
      </c>
      <c r="B344" s="15">
        <v>45705</v>
      </c>
      <c r="C344" s="15" t="str">
        <f t="shared" si="5"/>
        <v>February</v>
      </c>
      <c r="D344" s="3" t="s">
        <v>806</v>
      </c>
      <c r="E344" s="3" t="s">
        <v>27</v>
      </c>
      <c r="F344" s="3" t="s">
        <v>28</v>
      </c>
      <c r="G344" s="3" t="s">
        <v>20</v>
      </c>
      <c r="H344" s="3" t="s">
        <v>74</v>
      </c>
      <c r="I344" s="3" t="s">
        <v>75</v>
      </c>
      <c r="J344" s="5">
        <v>6</v>
      </c>
      <c r="K344" s="3">
        <v>299.99</v>
      </c>
      <c r="L344" s="7">
        <v>0</v>
      </c>
      <c r="M344" s="3" t="s">
        <v>23</v>
      </c>
      <c r="N344" s="3">
        <v>1799.94</v>
      </c>
      <c r="O344" s="3">
        <v>0</v>
      </c>
      <c r="P344" s="3">
        <v>1799.94</v>
      </c>
    </row>
    <row r="345" spans="1:16" x14ac:dyDescent="0.3">
      <c r="A345" s="3" t="s">
        <v>819</v>
      </c>
      <c r="B345" s="15">
        <v>45726</v>
      </c>
      <c r="C345" s="15" t="str">
        <f t="shared" si="5"/>
        <v>March</v>
      </c>
      <c r="D345" s="3" t="s">
        <v>435</v>
      </c>
      <c r="E345" s="3" t="s">
        <v>27</v>
      </c>
      <c r="F345" s="3" t="s">
        <v>123</v>
      </c>
      <c r="G345" s="3" t="s">
        <v>34</v>
      </c>
      <c r="H345" s="3" t="s">
        <v>57</v>
      </c>
      <c r="I345" s="3" t="s">
        <v>130</v>
      </c>
      <c r="J345" s="5">
        <v>1</v>
      </c>
      <c r="K345" s="3">
        <v>109.99</v>
      </c>
      <c r="L345" s="7">
        <v>0.1</v>
      </c>
      <c r="M345" s="3" t="s">
        <v>80</v>
      </c>
      <c r="N345" s="3">
        <v>109.99</v>
      </c>
      <c r="O345" s="3">
        <v>11</v>
      </c>
      <c r="P345" s="3">
        <v>98.99</v>
      </c>
    </row>
    <row r="346" spans="1:16" x14ac:dyDescent="0.3">
      <c r="A346" s="3" t="s">
        <v>820</v>
      </c>
      <c r="B346" s="15">
        <v>45791</v>
      </c>
      <c r="C346" s="15" t="str">
        <f t="shared" si="5"/>
        <v>May</v>
      </c>
      <c r="D346" s="3" t="s">
        <v>137</v>
      </c>
      <c r="E346" s="3" t="s">
        <v>72</v>
      </c>
      <c r="F346" s="3" t="s">
        <v>73</v>
      </c>
      <c r="G346" s="3" t="s">
        <v>34</v>
      </c>
      <c r="H346" s="3" t="s">
        <v>62</v>
      </c>
      <c r="I346" s="3" t="s">
        <v>124</v>
      </c>
      <c r="J346" s="5">
        <v>2</v>
      </c>
      <c r="K346" s="3">
        <v>399.99</v>
      </c>
      <c r="L346" s="7">
        <v>0</v>
      </c>
      <c r="M346" s="3" t="s">
        <v>23</v>
      </c>
      <c r="N346" s="3">
        <v>799.98</v>
      </c>
      <c r="O346" s="3">
        <v>0</v>
      </c>
      <c r="P346" s="3">
        <v>799.98</v>
      </c>
    </row>
    <row r="347" spans="1:16" x14ac:dyDescent="0.3">
      <c r="A347" s="3" t="s">
        <v>822</v>
      </c>
      <c r="B347" s="15">
        <v>45761</v>
      </c>
      <c r="C347" s="15" t="str">
        <f t="shared" si="5"/>
        <v>April</v>
      </c>
      <c r="D347" s="3" t="s">
        <v>762</v>
      </c>
      <c r="E347" s="3" t="s">
        <v>72</v>
      </c>
      <c r="F347" s="3" t="s">
        <v>152</v>
      </c>
      <c r="G347" s="3" t="s">
        <v>20</v>
      </c>
      <c r="H347" s="3" t="s">
        <v>57</v>
      </c>
      <c r="I347" s="3" t="s">
        <v>189</v>
      </c>
      <c r="J347" s="5">
        <v>2</v>
      </c>
      <c r="K347" s="3">
        <v>119.99</v>
      </c>
      <c r="L347" s="7">
        <v>0</v>
      </c>
      <c r="M347" s="3" t="s">
        <v>47</v>
      </c>
      <c r="N347" s="3">
        <v>239.98</v>
      </c>
      <c r="O347" s="3">
        <v>0</v>
      </c>
      <c r="P347" s="3">
        <v>239.98</v>
      </c>
    </row>
    <row r="348" spans="1:16" x14ac:dyDescent="0.3">
      <c r="A348" s="3" t="s">
        <v>824</v>
      </c>
      <c r="B348" s="15">
        <v>45719</v>
      </c>
      <c r="C348" s="15" t="str">
        <f t="shared" si="5"/>
        <v>March</v>
      </c>
      <c r="D348" s="3" t="s">
        <v>794</v>
      </c>
      <c r="E348" s="3" t="s">
        <v>72</v>
      </c>
      <c r="F348" s="3" t="s">
        <v>152</v>
      </c>
      <c r="G348" s="3" t="s">
        <v>34</v>
      </c>
      <c r="H348" s="3" t="s">
        <v>21</v>
      </c>
      <c r="I348" s="3" t="s">
        <v>68</v>
      </c>
      <c r="J348" s="5">
        <v>3</v>
      </c>
      <c r="K348" s="3">
        <v>129.99</v>
      </c>
      <c r="L348" s="7">
        <v>0.05</v>
      </c>
      <c r="M348" s="3" t="s">
        <v>47</v>
      </c>
      <c r="N348" s="3">
        <v>389.97</v>
      </c>
      <c r="O348" s="3">
        <v>19.5</v>
      </c>
      <c r="P348" s="3">
        <v>370.47</v>
      </c>
    </row>
    <row r="349" spans="1:16" x14ac:dyDescent="0.3">
      <c r="A349" s="3" t="s">
        <v>825</v>
      </c>
      <c r="B349" s="15">
        <v>45738</v>
      </c>
      <c r="C349" s="15" t="str">
        <f t="shared" si="5"/>
        <v>March</v>
      </c>
      <c r="D349" s="3" t="s">
        <v>657</v>
      </c>
      <c r="E349" s="3" t="s">
        <v>72</v>
      </c>
      <c r="F349" s="3" t="s">
        <v>152</v>
      </c>
      <c r="G349" s="3" t="s">
        <v>34</v>
      </c>
      <c r="H349" s="3" t="s">
        <v>74</v>
      </c>
      <c r="I349" s="3" t="s">
        <v>75</v>
      </c>
      <c r="J349" s="5">
        <v>1</v>
      </c>
      <c r="K349" s="3">
        <v>299.99</v>
      </c>
      <c r="L349" s="7">
        <v>0</v>
      </c>
      <c r="M349" s="3" t="s">
        <v>80</v>
      </c>
      <c r="N349" s="3">
        <v>299.99</v>
      </c>
      <c r="O349" s="3">
        <v>0</v>
      </c>
      <c r="P349" s="3">
        <v>299.99</v>
      </c>
    </row>
    <row r="350" spans="1:16" x14ac:dyDescent="0.3">
      <c r="A350" s="3" t="s">
        <v>826</v>
      </c>
      <c r="B350" s="15">
        <v>45840</v>
      </c>
      <c r="C350" s="15" t="str">
        <f t="shared" si="5"/>
        <v>July</v>
      </c>
      <c r="D350" s="3" t="s">
        <v>734</v>
      </c>
      <c r="E350" s="3" t="s">
        <v>51</v>
      </c>
      <c r="F350" s="3" t="s">
        <v>108</v>
      </c>
      <c r="G350" s="3" t="s">
        <v>20</v>
      </c>
      <c r="H350" s="3" t="s">
        <v>35</v>
      </c>
      <c r="I350" s="3" t="s">
        <v>134</v>
      </c>
      <c r="J350" s="5">
        <v>6</v>
      </c>
      <c r="K350" s="3">
        <v>139.99</v>
      </c>
      <c r="L350" s="7">
        <v>0</v>
      </c>
      <c r="M350" s="3" t="s">
        <v>37</v>
      </c>
      <c r="N350" s="3">
        <v>839.94</v>
      </c>
      <c r="O350" s="3">
        <v>0</v>
      </c>
      <c r="P350" s="3">
        <v>839.94</v>
      </c>
    </row>
    <row r="351" spans="1:16" x14ac:dyDescent="0.3">
      <c r="A351" s="3" t="s">
        <v>828</v>
      </c>
      <c r="B351" s="15">
        <v>45939</v>
      </c>
      <c r="C351" s="15" t="str">
        <f t="shared" si="5"/>
        <v>October</v>
      </c>
      <c r="D351" s="3" t="s">
        <v>117</v>
      </c>
      <c r="E351" s="3" t="s">
        <v>27</v>
      </c>
      <c r="F351" s="3" t="s">
        <v>67</v>
      </c>
      <c r="G351" s="3" t="s">
        <v>20</v>
      </c>
      <c r="H351" s="3" t="s">
        <v>57</v>
      </c>
      <c r="I351" s="3" t="s">
        <v>58</v>
      </c>
      <c r="J351" s="5">
        <v>4</v>
      </c>
      <c r="K351" s="3">
        <v>89.99</v>
      </c>
      <c r="L351" s="7">
        <v>0.1</v>
      </c>
      <c r="M351" s="3" t="s">
        <v>23</v>
      </c>
      <c r="N351" s="3">
        <v>359.96</v>
      </c>
      <c r="O351" s="3">
        <v>36</v>
      </c>
      <c r="P351" s="3">
        <v>323.95999999999998</v>
      </c>
    </row>
    <row r="352" spans="1:16" x14ac:dyDescent="0.3">
      <c r="A352" s="3" t="s">
        <v>830</v>
      </c>
      <c r="B352" s="15">
        <v>45724</v>
      </c>
      <c r="C352" s="15" t="str">
        <f t="shared" si="5"/>
        <v>March</v>
      </c>
      <c r="D352" s="3" t="s">
        <v>577</v>
      </c>
      <c r="E352" s="3" t="s">
        <v>27</v>
      </c>
      <c r="F352" s="3" t="s">
        <v>28</v>
      </c>
      <c r="G352" s="3" t="s">
        <v>34</v>
      </c>
      <c r="H352" s="3" t="s">
        <v>21</v>
      </c>
      <c r="I352" s="3" t="s">
        <v>68</v>
      </c>
      <c r="J352" s="5">
        <v>1</v>
      </c>
      <c r="K352" s="3">
        <v>129.99</v>
      </c>
      <c r="L352" s="7">
        <v>0</v>
      </c>
      <c r="M352" s="3" t="s">
        <v>37</v>
      </c>
      <c r="N352" s="3">
        <v>129.99</v>
      </c>
      <c r="O352" s="3">
        <v>0</v>
      </c>
      <c r="P352" s="3">
        <v>129.99</v>
      </c>
    </row>
    <row r="353" spans="1:16" x14ac:dyDescent="0.3">
      <c r="A353" s="3" t="s">
        <v>831</v>
      </c>
      <c r="B353" s="15">
        <v>45988</v>
      </c>
      <c r="C353" s="15" t="str">
        <f t="shared" si="5"/>
        <v>November</v>
      </c>
      <c r="D353" s="3" t="s">
        <v>312</v>
      </c>
      <c r="E353" s="3" t="s">
        <v>27</v>
      </c>
      <c r="F353" s="3" t="s">
        <v>28</v>
      </c>
      <c r="G353" s="3" t="s">
        <v>20</v>
      </c>
      <c r="H353" s="3" t="s">
        <v>21</v>
      </c>
      <c r="I353" s="3" t="s">
        <v>87</v>
      </c>
      <c r="J353" s="5">
        <v>1</v>
      </c>
      <c r="K353" s="3">
        <v>149.99</v>
      </c>
      <c r="L353" s="7">
        <v>0</v>
      </c>
      <c r="M353" s="3" t="s">
        <v>80</v>
      </c>
      <c r="N353" s="3">
        <v>149.99</v>
      </c>
      <c r="O353" s="3">
        <v>0</v>
      </c>
      <c r="P353" s="3">
        <v>149.99</v>
      </c>
    </row>
    <row r="354" spans="1:16" x14ac:dyDescent="0.3">
      <c r="A354" s="3" t="s">
        <v>833</v>
      </c>
      <c r="B354" s="15">
        <v>45951</v>
      </c>
      <c r="C354" s="15" t="str">
        <f t="shared" si="5"/>
        <v>October</v>
      </c>
      <c r="D354" s="3" t="s">
        <v>340</v>
      </c>
      <c r="E354" s="3" t="s">
        <v>27</v>
      </c>
      <c r="F354" s="3" t="s">
        <v>67</v>
      </c>
      <c r="G354" s="3" t="s">
        <v>34</v>
      </c>
      <c r="H354" s="3" t="s">
        <v>57</v>
      </c>
      <c r="I354" s="3" t="s">
        <v>300</v>
      </c>
      <c r="J354" s="5">
        <v>1</v>
      </c>
      <c r="K354" s="3">
        <v>179.99</v>
      </c>
      <c r="L354" s="7">
        <v>0</v>
      </c>
      <c r="M354" s="3" t="s">
        <v>23</v>
      </c>
      <c r="N354" s="3">
        <v>179.99</v>
      </c>
      <c r="O354" s="3">
        <v>0</v>
      </c>
      <c r="P354" s="3">
        <v>179.99</v>
      </c>
    </row>
    <row r="355" spans="1:16" x14ac:dyDescent="0.3">
      <c r="A355" s="3" t="s">
        <v>834</v>
      </c>
      <c r="B355" s="15">
        <v>45753</v>
      </c>
      <c r="C355" s="15" t="str">
        <f t="shared" si="5"/>
        <v>April</v>
      </c>
      <c r="D355" s="3" t="s">
        <v>835</v>
      </c>
      <c r="E355" s="3" t="s">
        <v>72</v>
      </c>
      <c r="F355" s="3" t="s">
        <v>73</v>
      </c>
      <c r="G355" s="3" t="s">
        <v>34</v>
      </c>
      <c r="H355" s="3" t="s">
        <v>21</v>
      </c>
      <c r="I355" s="3" t="s">
        <v>46</v>
      </c>
      <c r="J355" s="5">
        <v>3</v>
      </c>
      <c r="K355" s="3">
        <v>119.99</v>
      </c>
      <c r="L355" s="7">
        <v>0</v>
      </c>
      <c r="M355" s="3" t="s">
        <v>23</v>
      </c>
      <c r="N355" s="3">
        <v>359.97</v>
      </c>
      <c r="O355" s="3">
        <v>0</v>
      </c>
      <c r="P355" s="3">
        <v>359.97</v>
      </c>
    </row>
    <row r="356" spans="1:16" x14ac:dyDescent="0.3">
      <c r="A356" s="3" t="s">
        <v>836</v>
      </c>
      <c r="B356" s="15">
        <v>45913</v>
      </c>
      <c r="C356" s="15" t="str">
        <f t="shared" si="5"/>
        <v>September</v>
      </c>
      <c r="D356" s="3" t="s">
        <v>838</v>
      </c>
      <c r="E356" s="3" t="s">
        <v>32</v>
      </c>
      <c r="F356" s="3" t="s">
        <v>45</v>
      </c>
      <c r="G356" s="3" t="s">
        <v>34</v>
      </c>
      <c r="H356" s="3" t="s">
        <v>35</v>
      </c>
      <c r="I356" s="3" t="s">
        <v>199</v>
      </c>
      <c r="J356" s="5">
        <v>6</v>
      </c>
      <c r="K356" s="3">
        <v>99.99</v>
      </c>
      <c r="L356" s="7">
        <v>0</v>
      </c>
      <c r="M356" s="3" t="s">
        <v>80</v>
      </c>
      <c r="N356" s="3">
        <v>599.94000000000005</v>
      </c>
      <c r="O356" s="3">
        <v>0</v>
      </c>
      <c r="P356" s="3">
        <v>599.94000000000005</v>
      </c>
    </row>
    <row r="357" spans="1:16" x14ac:dyDescent="0.3">
      <c r="A357" s="3" t="s">
        <v>839</v>
      </c>
      <c r="B357" s="15">
        <v>45987</v>
      </c>
      <c r="C357" s="15" t="str">
        <f t="shared" si="5"/>
        <v>November</v>
      </c>
      <c r="D357" s="3" t="s">
        <v>420</v>
      </c>
      <c r="E357" s="3" t="s">
        <v>72</v>
      </c>
      <c r="F357" s="3" t="s">
        <v>73</v>
      </c>
      <c r="G357" s="3" t="s">
        <v>20</v>
      </c>
      <c r="H357" s="3" t="s">
        <v>21</v>
      </c>
      <c r="I357" s="3" t="s">
        <v>87</v>
      </c>
      <c r="J357" s="5">
        <v>4</v>
      </c>
      <c r="K357" s="3">
        <v>149.99</v>
      </c>
      <c r="L357" s="7">
        <v>0</v>
      </c>
      <c r="M357" s="3" t="s">
        <v>80</v>
      </c>
      <c r="N357" s="3">
        <v>599.96</v>
      </c>
      <c r="O357" s="3">
        <v>0</v>
      </c>
      <c r="P357" s="3">
        <v>599.96</v>
      </c>
    </row>
    <row r="358" spans="1:16" x14ac:dyDescent="0.3">
      <c r="A358" s="3" t="s">
        <v>840</v>
      </c>
      <c r="B358" s="15">
        <v>45834</v>
      </c>
      <c r="C358" s="15" t="str">
        <f t="shared" si="5"/>
        <v>June</v>
      </c>
      <c r="D358" s="3" t="s">
        <v>841</v>
      </c>
      <c r="E358" s="3" t="s">
        <v>18</v>
      </c>
      <c r="F358" s="3" t="s">
        <v>56</v>
      </c>
      <c r="G358" s="3" t="s">
        <v>34</v>
      </c>
      <c r="H358" s="3" t="s">
        <v>74</v>
      </c>
      <c r="I358" s="3" t="s">
        <v>143</v>
      </c>
      <c r="J358" s="5">
        <v>5</v>
      </c>
      <c r="K358" s="3">
        <v>99.99</v>
      </c>
      <c r="L358" s="7">
        <v>0.05</v>
      </c>
      <c r="M358" s="3" t="s">
        <v>23</v>
      </c>
      <c r="N358" s="3">
        <v>499.95</v>
      </c>
      <c r="O358" s="3">
        <v>25</v>
      </c>
      <c r="P358" s="3">
        <v>474.95</v>
      </c>
    </row>
    <row r="359" spans="1:16" x14ac:dyDescent="0.3">
      <c r="A359" s="3" t="s">
        <v>842</v>
      </c>
      <c r="B359" s="15">
        <v>45673</v>
      </c>
      <c r="C359" s="15" t="str">
        <f t="shared" si="5"/>
        <v>January</v>
      </c>
      <c r="D359" s="3" t="s">
        <v>690</v>
      </c>
      <c r="E359" s="3" t="s">
        <v>27</v>
      </c>
      <c r="F359" s="3" t="s">
        <v>67</v>
      </c>
      <c r="G359" s="3" t="s">
        <v>34</v>
      </c>
      <c r="H359" s="3" t="s">
        <v>57</v>
      </c>
      <c r="I359" s="3" t="s">
        <v>58</v>
      </c>
      <c r="J359" s="5">
        <v>5</v>
      </c>
      <c r="K359" s="3">
        <v>89.99</v>
      </c>
      <c r="L359" s="7">
        <v>0</v>
      </c>
      <c r="M359" s="3" t="s">
        <v>80</v>
      </c>
      <c r="N359" s="3">
        <v>449.95</v>
      </c>
      <c r="O359" s="3">
        <v>0</v>
      </c>
      <c r="P359" s="3">
        <v>449.95</v>
      </c>
    </row>
    <row r="360" spans="1:16" x14ac:dyDescent="0.3">
      <c r="A360" s="3" t="s">
        <v>844</v>
      </c>
      <c r="B360" s="15">
        <v>45784</v>
      </c>
      <c r="C360" s="15" t="str">
        <f t="shared" si="5"/>
        <v>May</v>
      </c>
      <c r="D360" s="3" t="s">
        <v>845</v>
      </c>
      <c r="E360" s="3" t="s">
        <v>18</v>
      </c>
      <c r="F360" s="3" t="s">
        <v>19</v>
      </c>
      <c r="G360" s="3" t="s">
        <v>20</v>
      </c>
      <c r="H360" s="3" t="s">
        <v>74</v>
      </c>
      <c r="I360" s="3" t="s">
        <v>143</v>
      </c>
      <c r="J360" s="5">
        <v>2</v>
      </c>
      <c r="K360" s="3">
        <v>99.99</v>
      </c>
      <c r="L360" s="7">
        <v>0</v>
      </c>
      <c r="M360" s="3" t="s">
        <v>37</v>
      </c>
      <c r="N360" s="3">
        <v>199.98</v>
      </c>
      <c r="O360" s="3">
        <v>0</v>
      </c>
      <c r="P360" s="3">
        <v>199.98</v>
      </c>
    </row>
    <row r="361" spans="1:16" x14ac:dyDescent="0.3">
      <c r="A361" s="3" t="s">
        <v>846</v>
      </c>
      <c r="B361" s="15">
        <v>45748</v>
      </c>
      <c r="C361" s="15" t="str">
        <f t="shared" si="5"/>
        <v>April</v>
      </c>
      <c r="D361" s="3" t="s">
        <v>352</v>
      </c>
      <c r="E361" s="3" t="s">
        <v>51</v>
      </c>
      <c r="F361" s="3" t="s">
        <v>52</v>
      </c>
      <c r="G361" s="3" t="s">
        <v>34</v>
      </c>
      <c r="H361" s="3" t="s">
        <v>62</v>
      </c>
      <c r="I361" s="3" t="s">
        <v>124</v>
      </c>
      <c r="J361" s="5">
        <v>3</v>
      </c>
      <c r="K361" s="3">
        <v>399.99</v>
      </c>
      <c r="L361" s="7">
        <v>0</v>
      </c>
      <c r="M361" s="3" t="s">
        <v>37</v>
      </c>
      <c r="N361" s="3">
        <v>1199.97</v>
      </c>
      <c r="O361" s="3">
        <v>0</v>
      </c>
      <c r="P361" s="3">
        <v>1199.97</v>
      </c>
    </row>
    <row r="362" spans="1:16" x14ac:dyDescent="0.3">
      <c r="A362" s="3" t="s">
        <v>847</v>
      </c>
      <c r="B362" s="15">
        <v>45910</v>
      </c>
      <c r="C362" s="15" t="str">
        <f t="shared" si="5"/>
        <v>September</v>
      </c>
      <c r="D362" s="3" t="s">
        <v>385</v>
      </c>
      <c r="E362" s="3" t="s">
        <v>18</v>
      </c>
      <c r="F362" s="3" t="s">
        <v>19</v>
      </c>
      <c r="G362" s="3" t="s">
        <v>34</v>
      </c>
      <c r="H362" s="3" t="s">
        <v>62</v>
      </c>
      <c r="I362" s="3" t="s">
        <v>124</v>
      </c>
      <c r="J362" s="5">
        <v>5</v>
      </c>
      <c r="K362" s="3">
        <v>399.99</v>
      </c>
      <c r="L362" s="7">
        <v>0</v>
      </c>
      <c r="M362" s="3" t="s">
        <v>47</v>
      </c>
      <c r="N362" s="3">
        <v>1999.95</v>
      </c>
      <c r="O362" s="3">
        <v>0</v>
      </c>
      <c r="P362" s="3">
        <v>1999.95</v>
      </c>
    </row>
    <row r="363" spans="1:16" x14ac:dyDescent="0.3">
      <c r="A363" s="3" t="s">
        <v>848</v>
      </c>
      <c r="B363" s="15">
        <v>45770</v>
      </c>
      <c r="C363" s="15" t="str">
        <f t="shared" si="5"/>
        <v>April</v>
      </c>
      <c r="D363" s="3" t="s">
        <v>565</v>
      </c>
      <c r="E363" s="3" t="s">
        <v>27</v>
      </c>
      <c r="F363" s="3" t="s">
        <v>28</v>
      </c>
      <c r="G363" s="3" t="s">
        <v>34</v>
      </c>
      <c r="H363" s="3" t="s">
        <v>74</v>
      </c>
      <c r="I363" s="3" t="s">
        <v>112</v>
      </c>
      <c r="J363" s="5">
        <v>2</v>
      </c>
      <c r="K363" s="3">
        <v>129.99</v>
      </c>
      <c r="L363" s="7">
        <v>0.1</v>
      </c>
      <c r="M363" s="3" t="s">
        <v>80</v>
      </c>
      <c r="N363" s="3">
        <v>259.98</v>
      </c>
      <c r="O363" s="3">
        <v>26</v>
      </c>
      <c r="P363" s="3">
        <v>233.98</v>
      </c>
    </row>
    <row r="364" spans="1:16" x14ac:dyDescent="0.3">
      <c r="A364" s="3" t="s">
        <v>850</v>
      </c>
      <c r="B364" s="15">
        <v>45823</v>
      </c>
      <c r="C364" s="15" t="str">
        <f t="shared" si="5"/>
        <v>June</v>
      </c>
      <c r="D364" s="3" t="s">
        <v>133</v>
      </c>
      <c r="E364" s="3" t="s">
        <v>51</v>
      </c>
      <c r="F364" s="3" t="s">
        <v>52</v>
      </c>
      <c r="G364" s="3" t="s">
        <v>20</v>
      </c>
      <c r="H364" s="3" t="s">
        <v>57</v>
      </c>
      <c r="I364" s="3" t="s">
        <v>58</v>
      </c>
      <c r="J364" s="5">
        <v>6</v>
      </c>
      <c r="K364" s="3">
        <v>89.99</v>
      </c>
      <c r="L364" s="7">
        <v>0</v>
      </c>
      <c r="M364" s="3" t="s">
        <v>47</v>
      </c>
      <c r="N364" s="3">
        <v>539.94000000000005</v>
      </c>
      <c r="O364" s="3">
        <v>0</v>
      </c>
      <c r="P364" s="3">
        <v>539.94000000000005</v>
      </c>
    </row>
    <row r="365" spans="1:16" x14ac:dyDescent="0.3">
      <c r="A365" s="3" t="s">
        <v>852</v>
      </c>
      <c r="B365" s="15">
        <v>45849</v>
      </c>
      <c r="C365" s="15" t="str">
        <f t="shared" si="5"/>
        <v>July</v>
      </c>
      <c r="D365" s="3" t="s">
        <v>598</v>
      </c>
      <c r="E365" s="3" t="s">
        <v>27</v>
      </c>
      <c r="F365" s="3" t="s">
        <v>123</v>
      </c>
      <c r="G365" s="3" t="s">
        <v>34</v>
      </c>
      <c r="H365" s="3" t="s">
        <v>62</v>
      </c>
      <c r="I365" s="3" t="s">
        <v>63</v>
      </c>
      <c r="J365" s="5">
        <v>3</v>
      </c>
      <c r="K365" s="3">
        <v>199.99</v>
      </c>
      <c r="L365" s="7">
        <v>0</v>
      </c>
      <c r="M365" s="3" t="s">
        <v>80</v>
      </c>
      <c r="N365" s="3">
        <v>599.97</v>
      </c>
      <c r="O365" s="3">
        <v>0</v>
      </c>
      <c r="P365" s="3">
        <v>599.97</v>
      </c>
    </row>
    <row r="366" spans="1:16" x14ac:dyDescent="0.3">
      <c r="A366" s="3" t="s">
        <v>853</v>
      </c>
      <c r="B366" s="15">
        <v>45881</v>
      </c>
      <c r="C366" s="15" t="str">
        <f t="shared" si="5"/>
        <v>August</v>
      </c>
      <c r="D366" s="3" t="s">
        <v>491</v>
      </c>
      <c r="E366" s="3" t="s">
        <v>18</v>
      </c>
      <c r="F366" s="3" t="s">
        <v>19</v>
      </c>
      <c r="G366" s="3" t="s">
        <v>34</v>
      </c>
      <c r="H366" s="3" t="s">
        <v>57</v>
      </c>
      <c r="I366" s="3" t="s">
        <v>189</v>
      </c>
      <c r="J366" s="5">
        <v>2</v>
      </c>
      <c r="K366" s="3">
        <v>119.99</v>
      </c>
      <c r="L366" s="7">
        <v>0.15</v>
      </c>
      <c r="M366" s="3" t="s">
        <v>37</v>
      </c>
      <c r="N366" s="3">
        <v>239.98</v>
      </c>
      <c r="O366" s="3">
        <v>36</v>
      </c>
      <c r="P366" s="3">
        <v>203.98</v>
      </c>
    </row>
    <row r="367" spans="1:16" x14ac:dyDescent="0.3">
      <c r="A367" s="3" t="s">
        <v>854</v>
      </c>
      <c r="B367" s="15">
        <v>46010</v>
      </c>
      <c r="C367" s="15" t="str">
        <f t="shared" si="5"/>
        <v>December</v>
      </c>
      <c r="D367" s="3" t="s">
        <v>44</v>
      </c>
      <c r="E367" s="3" t="s">
        <v>51</v>
      </c>
      <c r="F367" s="3" t="s">
        <v>108</v>
      </c>
      <c r="G367" s="3" t="s">
        <v>20</v>
      </c>
      <c r="H367" s="3" t="s">
        <v>35</v>
      </c>
      <c r="I367" s="3" t="s">
        <v>134</v>
      </c>
      <c r="J367" s="5">
        <v>4</v>
      </c>
      <c r="K367" s="3">
        <v>139.99</v>
      </c>
      <c r="L367" s="7">
        <v>0</v>
      </c>
      <c r="M367" s="3" t="s">
        <v>47</v>
      </c>
      <c r="N367" s="3">
        <v>559.96</v>
      </c>
      <c r="O367" s="3">
        <v>0</v>
      </c>
      <c r="P367" s="3">
        <v>559.96</v>
      </c>
    </row>
    <row r="368" spans="1:16" x14ac:dyDescent="0.3">
      <c r="A368" s="3" t="s">
        <v>855</v>
      </c>
      <c r="B368" s="15">
        <v>45820</v>
      </c>
      <c r="C368" s="15" t="str">
        <f t="shared" si="5"/>
        <v>June</v>
      </c>
      <c r="D368" s="3" t="s">
        <v>294</v>
      </c>
      <c r="E368" s="3" t="s">
        <v>32</v>
      </c>
      <c r="F368" s="3" t="s">
        <v>45</v>
      </c>
      <c r="G368" s="3" t="s">
        <v>20</v>
      </c>
      <c r="H368" s="3" t="s">
        <v>21</v>
      </c>
      <c r="I368" s="3" t="s">
        <v>46</v>
      </c>
      <c r="J368" s="5">
        <v>2</v>
      </c>
      <c r="K368" s="3">
        <v>119.99</v>
      </c>
      <c r="L368" s="7">
        <v>0.1</v>
      </c>
      <c r="M368" s="3" t="s">
        <v>80</v>
      </c>
      <c r="N368" s="3">
        <v>239.98</v>
      </c>
      <c r="O368" s="3">
        <v>24</v>
      </c>
      <c r="P368" s="3">
        <v>215.98</v>
      </c>
    </row>
    <row r="369" spans="1:16" x14ac:dyDescent="0.3">
      <c r="A369" s="3" t="s">
        <v>857</v>
      </c>
      <c r="B369" s="15">
        <v>45821</v>
      </c>
      <c r="C369" s="15" t="str">
        <f t="shared" si="5"/>
        <v>June</v>
      </c>
      <c r="D369" s="3" t="s">
        <v>546</v>
      </c>
      <c r="E369" s="3" t="s">
        <v>18</v>
      </c>
      <c r="F369" s="3" t="s">
        <v>19</v>
      </c>
      <c r="G369" s="3" t="s">
        <v>20</v>
      </c>
      <c r="H369" s="3" t="s">
        <v>74</v>
      </c>
      <c r="I369" s="3" t="s">
        <v>112</v>
      </c>
      <c r="J369" s="5">
        <v>2</v>
      </c>
      <c r="K369" s="3">
        <v>129.99</v>
      </c>
      <c r="L369" s="7">
        <v>0</v>
      </c>
      <c r="M369" s="3" t="s">
        <v>37</v>
      </c>
      <c r="N369" s="3">
        <v>259.98</v>
      </c>
      <c r="O369" s="3">
        <v>0</v>
      </c>
      <c r="P369" s="3">
        <v>259.98</v>
      </c>
    </row>
    <row r="370" spans="1:16" x14ac:dyDescent="0.3">
      <c r="A370" s="3" t="s">
        <v>858</v>
      </c>
      <c r="B370" s="15">
        <v>45692</v>
      </c>
      <c r="C370" s="15" t="str">
        <f t="shared" si="5"/>
        <v>February</v>
      </c>
      <c r="D370" s="3" t="s">
        <v>523</v>
      </c>
      <c r="E370" s="3" t="s">
        <v>18</v>
      </c>
      <c r="F370" s="3" t="s">
        <v>19</v>
      </c>
      <c r="G370" s="3" t="s">
        <v>34</v>
      </c>
      <c r="H370" s="3" t="s">
        <v>74</v>
      </c>
      <c r="I370" s="3" t="s">
        <v>112</v>
      </c>
      <c r="J370" s="5">
        <v>2</v>
      </c>
      <c r="K370" s="3">
        <v>129.99</v>
      </c>
      <c r="L370" s="7">
        <v>0.15</v>
      </c>
      <c r="M370" s="3" t="s">
        <v>80</v>
      </c>
      <c r="N370" s="3">
        <v>259.98</v>
      </c>
      <c r="O370" s="3">
        <v>39</v>
      </c>
      <c r="P370" s="3">
        <v>220.98</v>
      </c>
    </row>
    <row r="371" spans="1:16" x14ac:dyDescent="0.3">
      <c r="A371" s="3" t="s">
        <v>859</v>
      </c>
      <c r="B371" s="15">
        <v>45743</v>
      </c>
      <c r="C371" s="15" t="str">
        <f t="shared" si="5"/>
        <v>March</v>
      </c>
      <c r="D371" s="3" t="s">
        <v>420</v>
      </c>
      <c r="E371" s="3" t="s">
        <v>72</v>
      </c>
      <c r="F371" s="3" t="s">
        <v>152</v>
      </c>
      <c r="G371" s="3" t="s">
        <v>34</v>
      </c>
      <c r="H371" s="3" t="s">
        <v>21</v>
      </c>
      <c r="I371" s="3" t="s">
        <v>22</v>
      </c>
      <c r="J371" s="5">
        <v>6</v>
      </c>
      <c r="K371" s="3">
        <v>89.99</v>
      </c>
      <c r="L371" s="7">
        <v>0.05</v>
      </c>
      <c r="M371" s="3" t="s">
        <v>23</v>
      </c>
      <c r="N371" s="3">
        <v>539.94000000000005</v>
      </c>
      <c r="O371" s="3">
        <v>27</v>
      </c>
      <c r="P371" s="3">
        <v>512.94000000000005</v>
      </c>
    </row>
    <row r="372" spans="1:16" x14ac:dyDescent="0.3">
      <c r="A372" s="3" t="s">
        <v>860</v>
      </c>
      <c r="B372" s="15">
        <v>45953</v>
      </c>
      <c r="C372" s="15" t="str">
        <f t="shared" si="5"/>
        <v>October</v>
      </c>
      <c r="D372" s="3" t="s">
        <v>612</v>
      </c>
      <c r="E372" s="3" t="s">
        <v>32</v>
      </c>
      <c r="F372" s="3" t="s">
        <v>33</v>
      </c>
      <c r="G372" s="3" t="s">
        <v>20</v>
      </c>
      <c r="H372" s="3" t="s">
        <v>74</v>
      </c>
      <c r="I372" s="3" t="s">
        <v>75</v>
      </c>
      <c r="J372" s="5">
        <v>1</v>
      </c>
      <c r="K372" s="3">
        <v>299.99</v>
      </c>
      <c r="L372" s="7">
        <v>0.05</v>
      </c>
      <c r="M372" s="3" t="s">
        <v>47</v>
      </c>
      <c r="N372" s="3">
        <v>299.99</v>
      </c>
      <c r="O372" s="3">
        <v>15</v>
      </c>
      <c r="P372" s="3">
        <v>284.99</v>
      </c>
    </row>
    <row r="373" spans="1:16" x14ac:dyDescent="0.3">
      <c r="A373" s="3" t="s">
        <v>861</v>
      </c>
      <c r="B373" s="15">
        <v>45791</v>
      </c>
      <c r="C373" s="15" t="str">
        <f t="shared" si="5"/>
        <v>May</v>
      </c>
      <c r="D373" s="3" t="s">
        <v>862</v>
      </c>
      <c r="E373" s="3" t="s">
        <v>27</v>
      </c>
      <c r="F373" s="3" t="s">
        <v>67</v>
      </c>
      <c r="G373" s="3" t="s">
        <v>20</v>
      </c>
      <c r="H373" s="3" t="s">
        <v>74</v>
      </c>
      <c r="I373" s="3" t="s">
        <v>112</v>
      </c>
      <c r="J373" s="5">
        <v>1</v>
      </c>
      <c r="K373" s="3">
        <v>129.99</v>
      </c>
      <c r="L373" s="7">
        <v>0</v>
      </c>
      <c r="M373" s="3" t="s">
        <v>80</v>
      </c>
      <c r="N373" s="3">
        <v>129.99</v>
      </c>
      <c r="O373" s="3">
        <v>0</v>
      </c>
      <c r="P373" s="3">
        <v>129.99</v>
      </c>
    </row>
    <row r="374" spans="1:16" x14ac:dyDescent="0.3">
      <c r="A374" s="3" t="s">
        <v>863</v>
      </c>
      <c r="B374" s="15">
        <v>45938</v>
      </c>
      <c r="C374" s="15" t="str">
        <f t="shared" si="5"/>
        <v>October</v>
      </c>
      <c r="D374" s="3" t="s">
        <v>710</v>
      </c>
      <c r="E374" s="3" t="s">
        <v>72</v>
      </c>
      <c r="F374" s="3" t="s">
        <v>73</v>
      </c>
      <c r="G374" s="3" t="s">
        <v>20</v>
      </c>
      <c r="H374" s="3" t="s">
        <v>57</v>
      </c>
      <c r="I374" s="3" t="s">
        <v>58</v>
      </c>
      <c r="J374" s="5">
        <v>6</v>
      </c>
      <c r="K374" s="3">
        <v>89.99</v>
      </c>
      <c r="L374" s="7">
        <v>0</v>
      </c>
      <c r="M374" s="3" t="s">
        <v>37</v>
      </c>
      <c r="N374" s="3">
        <v>539.94000000000005</v>
      </c>
      <c r="O374" s="3">
        <v>0</v>
      </c>
      <c r="P374" s="3">
        <v>539.94000000000005</v>
      </c>
    </row>
    <row r="375" spans="1:16" x14ac:dyDescent="0.3">
      <c r="A375" s="3" t="s">
        <v>864</v>
      </c>
      <c r="B375" s="15">
        <v>45968</v>
      </c>
      <c r="C375" s="15" t="str">
        <f t="shared" si="5"/>
        <v>November</v>
      </c>
      <c r="D375" s="3" t="s">
        <v>516</v>
      </c>
      <c r="E375" s="3" t="s">
        <v>27</v>
      </c>
      <c r="F375" s="3" t="s">
        <v>67</v>
      </c>
      <c r="G375" s="3" t="s">
        <v>34</v>
      </c>
      <c r="H375" s="3" t="s">
        <v>62</v>
      </c>
      <c r="I375" s="3" t="s">
        <v>79</v>
      </c>
      <c r="J375" s="5">
        <v>6</v>
      </c>
      <c r="K375" s="3">
        <v>249.99</v>
      </c>
      <c r="L375" s="7">
        <v>0</v>
      </c>
      <c r="M375" s="3" t="s">
        <v>47</v>
      </c>
      <c r="N375" s="3">
        <v>1499.94</v>
      </c>
      <c r="O375" s="3">
        <v>0</v>
      </c>
      <c r="P375" s="3">
        <v>1499.94</v>
      </c>
    </row>
    <row r="376" spans="1:16" x14ac:dyDescent="0.3">
      <c r="A376" s="3" t="s">
        <v>866</v>
      </c>
      <c r="B376" s="15">
        <v>46014</v>
      </c>
      <c r="C376" s="15" t="str">
        <f t="shared" si="5"/>
        <v>December</v>
      </c>
      <c r="D376" s="3" t="s">
        <v>188</v>
      </c>
      <c r="E376" s="3" t="s">
        <v>18</v>
      </c>
      <c r="F376" s="3" t="s">
        <v>19</v>
      </c>
      <c r="G376" s="3" t="s">
        <v>34</v>
      </c>
      <c r="H376" s="3" t="s">
        <v>21</v>
      </c>
      <c r="I376" s="3" t="s">
        <v>22</v>
      </c>
      <c r="J376" s="5">
        <v>2</v>
      </c>
      <c r="K376" s="3">
        <v>89.99</v>
      </c>
      <c r="L376" s="7">
        <v>0.05</v>
      </c>
      <c r="M376" s="3" t="s">
        <v>37</v>
      </c>
      <c r="N376" s="3">
        <v>179.98</v>
      </c>
      <c r="O376" s="3">
        <v>9</v>
      </c>
      <c r="P376" s="3">
        <v>170.98</v>
      </c>
    </row>
    <row r="377" spans="1:16" x14ac:dyDescent="0.3">
      <c r="A377" s="3" t="s">
        <v>867</v>
      </c>
      <c r="B377" s="15">
        <v>45939</v>
      </c>
      <c r="C377" s="15" t="str">
        <f t="shared" si="5"/>
        <v>October</v>
      </c>
      <c r="D377" s="3" t="s">
        <v>868</v>
      </c>
      <c r="E377" s="3" t="s">
        <v>27</v>
      </c>
      <c r="F377" s="3" t="s">
        <v>28</v>
      </c>
      <c r="G377" s="3" t="s">
        <v>34</v>
      </c>
      <c r="H377" s="3" t="s">
        <v>57</v>
      </c>
      <c r="I377" s="3" t="s">
        <v>58</v>
      </c>
      <c r="J377" s="5">
        <v>4</v>
      </c>
      <c r="K377" s="3">
        <v>89.99</v>
      </c>
      <c r="L377" s="7">
        <v>0.1</v>
      </c>
      <c r="M377" s="3" t="s">
        <v>47</v>
      </c>
      <c r="N377" s="3">
        <v>359.96</v>
      </c>
      <c r="O377" s="3">
        <v>36</v>
      </c>
      <c r="P377" s="3">
        <v>323.95999999999998</v>
      </c>
    </row>
    <row r="378" spans="1:16" x14ac:dyDescent="0.3">
      <c r="A378" s="3" t="s">
        <v>869</v>
      </c>
      <c r="B378" s="15">
        <v>45996</v>
      </c>
      <c r="C378" s="15" t="str">
        <f t="shared" si="5"/>
        <v>December</v>
      </c>
      <c r="D378" s="3" t="s">
        <v>654</v>
      </c>
      <c r="E378" s="3" t="s">
        <v>27</v>
      </c>
      <c r="F378" s="3" t="s">
        <v>67</v>
      </c>
      <c r="G378" s="3" t="s">
        <v>34</v>
      </c>
      <c r="H378" s="3" t="s">
        <v>21</v>
      </c>
      <c r="I378" s="3" t="s">
        <v>87</v>
      </c>
      <c r="J378" s="5">
        <v>1</v>
      </c>
      <c r="K378" s="3">
        <v>149.99</v>
      </c>
      <c r="L378" s="7">
        <v>0</v>
      </c>
      <c r="M378" s="3" t="s">
        <v>47</v>
      </c>
      <c r="N378" s="3">
        <v>149.99</v>
      </c>
      <c r="O378" s="3">
        <v>0</v>
      </c>
      <c r="P378" s="3">
        <v>149.99</v>
      </c>
    </row>
    <row r="379" spans="1:16" x14ac:dyDescent="0.3">
      <c r="A379" s="3" t="s">
        <v>870</v>
      </c>
      <c r="B379" s="15">
        <v>45699</v>
      </c>
      <c r="C379" s="15" t="str">
        <f t="shared" si="5"/>
        <v>February</v>
      </c>
      <c r="D379" s="3" t="s">
        <v>111</v>
      </c>
      <c r="E379" s="3" t="s">
        <v>51</v>
      </c>
      <c r="F379" s="3" t="s">
        <v>108</v>
      </c>
      <c r="G379" s="3" t="s">
        <v>20</v>
      </c>
      <c r="H379" s="3" t="s">
        <v>21</v>
      </c>
      <c r="I379" s="3" t="s">
        <v>22</v>
      </c>
      <c r="J379" s="5">
        <v>6</v>
      </c>
      <c r="K379" s="3">
        <v>89.99</v>
      </c>
      <c r="L379" s="7">
        <v>0</v>
      </c>
      <c r="M379" s="3" t="s">
        <v>37</v>
      </c>
      <c r="N379" s="3">
        <v>539.94000000000005</v>
      </c>
      <c r="O379" s="3">
        <v>0</v>
      </c>
      <c r="P379" s="3">
        <v>539.94000000000005</v>
      </c>
    </row>
    <row r="380" spans="1:16" x14ac:dyDescent="0.3">
      <c r="A380" s="3" t="s">
        <v>871</v>
      </c>
      <c r="B380" s="15">
        <v>45936</v>
      </c>
      <c r="C380" s="15" t="str">
        <f t="shared" si="5"/>
        <v>October</v>
      </c>
      <c r="D380" s="3" t="s">
        <v>460</v>
      </c>
      <c r="E380" s="3" t="s">
        <v>72</v>
      </c>
      <c r="F380" s="3" t="s">
        <v>152</v>
      </c>
      <c r="G380" s="3" t="s">
        <v>20</v>
      </c>
      <c r="H380" s="3" t="s">
        <v>74</v>
      </c>
      <c r="I380" s="3" t="s">
        <v>75</v>
      </c>
      <c r="J380" s="5">
        <v>1</v>
      </c>
      <c r="K380" s="3">
        <v>299.99</v>
      </c>
      <c r="L380" s="7">
        <v>0.15</v>
      </c>
      <c r="M380" s="3" t="s">
        <v>37</v>
      </c>
      <c r="N380" s="3">
        <v>299.99</v>
      </c>
      <c r="O380" s="3">
        <v>45</v>
      </c>
      <c r="P380" s="3">
        <v>254.99</v>
      </c>
    </row>
    <row r="381" spans="1:16" x14ac:dyDescent="0.3">
      <c r="A381" s="3" t="s">
        <v>872</v>
      </c>
      <c r="B381" s="15">
        <v>45883</v>
      </c>
      <c r="C381" s="15" t="str">
        <f t="shared" si="5"/>
        <v>August</v>
      </c>
      <c r="D381" s="3" t="s">
        <v>83</v>
      </c>
      <c r="E381" s="3" t="s">
        <v>51</v>
      </c>
      <c r="F381" s="3" t="s">
        <v>52</v>
      </c>
      <c r="G381" s="3" t="s">
        <v>34</v>
      </c>
      <c r="H381" s="3" t="s">
        <v>74</v>
      </c>
      <c r="I381" s="3" t="s">
        <v>75</v>
      </c>
      <c r="J381" s="5">
        <v>1</v>
      </c>
      <c r="K381" s="3">
        <v>299.99</v>
      </c>
      <c r="L381" s="7">
        <v>0</v>
      </c>
      <c r="M381" s="3" t="s">
        <v>47</v>
      </c>
      <c r="N381" s="3">
        <v>299.99</v>
      </c>
      <c r="O381" s="3">
        <v>0</v>
      </c>
      <c r="P381" s="3">
        <v>299.99</v>
      </c>
    </row>
    <row r="382" spans="1:16" x14ac:dyDescent="0.3">
      <c r="A382" s="3" t="s">
        <v>873</v>
      </c>
      <c r="B382" s="15">
        <v>45834</v>
      </c>
      <c r="C382" s="15" t="str">
        <f t="shared" si="5"/>
        <v>June</v>
      </c>
      <c r="D382" s="3" t="s">
        <v>657</v>
      </c>
      <c r="E382" s="3" t="s">
        <v>51</v>
      </c>
      <c r="F382" s="3" t="s">
        <v>108</v>
      </c>
      <c r="G382" s="3" t="s">
        <v>34</v>
      </c>
      <c r="H382" s="3" t="s">
        <v>57</v>
      </c>
      <c r="I382" s="3" t="s">
        <v>300</v>
      </c>
      <c r="J382" s="5">
        <v>1</v>
      </c>
      <c r="K382" s="3">
        <v>179.99</v>
      </c>
      <c r="L382" s="7">
        <v>0.15</v>
      </c>
      <c r="M382" s="3" t="s">
        <v>47</v>
      </c>
      <c r="N382" s="3">
        <v>179.99</v>
      </c>
      <c r="O382" s="3">
        <v>27</v>
      </c>
      <c r="P382" s="3">
        <v>152.99</v>
      </c>
    </row>
    <row r="383" spans="1:16" x14ac:dyDescent="0.3">
      <c r="A383" s="3" t="s">
        <v>874</v>
      </c>
      <c r="B383" s="15">
        <v>45901</v>
      </c>
      <c r="C383" s="15" t="str">
        <f t="shared" si="5"/>
        <v>September</v>
      </c>
      <c r="D383" s="3" t="s">
        <v>328</v>
      </c>
      <c r="E383" s="3" t="s">
        <v>72</v>
      </c>
      <c r="F383" s="3" t="s">
        <v>152</v>
      </c>
      <c r="G383" s="3" t="s">
        <v>20</v>
      </c>
      <c r="H383" s="3" t="s">
        <v>62</v>
      </c>
      <c r="I383" s="3" t="s">
        <v>124</v>
      </c>
      <c r="J383" s="5">
        <v>5</v>
      </c>
      <c r="K383" s="3">
        <v>399.99</v>
      </c>
      <c r="L383" s="7">
        <v>0.15</v>
      </c>
      <c r="M383" s="3" t="s">
        <v>23</v>
      </c>
      <c r="N383" s="3">
        <v>1999.95</v>
      </c>
      <c r="O383" s="3">
        <v>299.99</v>
      </c>
      <c r="P383" s="3">
        <v>1699.96</v>
      </c>
    </row>
    <row r="384" spans="1:16" x14ac:dyDescent="0.3">
      <c r="A384" s="3" t="s">
        <v>876</v>
      </c>
      <c r="B384" s="15">
        <v>45922</v>
      </c>
      <c r="C384" s="15" t="str">
        <f t="shared" si="5"/>
        <v>September</v>
      </c>
      <c r="D384" s="3" t="s">
        <v>256</v>
      </c>
      <c r="E384" s="3" t="s">
        <v>72</v>
      </c>
      <c r="F384" s="3" t="s">
        <v>73</v>
      </c>
      <c r="G384" s="3" t="s">
        <v>20</v>
      </c>
      <c r="H384" s="3" t="s">
        <v>57</v>
      </c>
      <c r="I384" s="3" t="s">
        <v>300</v>
      </c>
      <c r="J384" s="5">
        <v>5</v>
      </c>
      <c r="K384" s="3">
        <v>179.99</v>
      </c>
      <c r="L384" s="7">
        <v>0.1</v>
      </c>
      <c r="M384" s="3" t="s">
        <v>80</v>
      </c>
      <c r="N384" s="3">
        <v>899.95</v>
      </c>
      <c r="O384" s="3">
        <v>90</v>
      </c>
      <c r="P384" s="3">
        <v>809.95</v>
      </c>
    </row>
    <row r="385" spans="1:16" x14ac:dyDescent="0.3">
      <c r="A385" s="3" t="s">
        <v>878</v>
      </c>
      <c r="B385" s="15">
        <v>45679</v>
      </c>
      <c r="C385" s="15" t="str">
        <f t="shared" si="5"/>
        <v>January</v>
      </c>
      <c r="D385" s="3" t="s">
        <v>31</v>
      </c>
      <c r="E385" s="3" t="s">
        <v>51</v>
      </c>
      <c r="F385" s="3" t="s">
        <v>108</v>
      </c>
      <c r="G385" s="3" t="s">
        <v>20</v>
      </c>
      <c r="H385" s="3" t="s">
        <v>74</v>
      </c>
      <c r="I385" s="3" t="s">
        <v>112</v>
      </c>
      <c r="J385" s="5">
        <v>2</v>
      </c>
      <c r="K385" s="3">
        <v>129.99</v>
      </c>
      <c r="L385" s="7">
        <v>0</v>
      </c>
      <c r="M385" s="3" t="s">
        <v>23</v>
      </c>
      <c r="N385" s="3">
        <v>259.98</v>
      </c>
      <c r="O385" s="3">
        <v>0</v>
      </c>
      <c r="P385" s="3">
        <v>259.98</v>
      </c>
    </row>
    <row r="386" spans="1:16" x14ac:dyDescent="0.3">
      <c r="A386" s="3" t="s">
        <v>879</v>
      </c>
      <c r="B386" s="15">
        <v>45692</v>
      </c>
      <c r="C386" s="15" t="str">
        <f t="shared" ref="C386:C449" si="6">TEXT(B386,"mmmm")</f>
        <v>February</v>
      </c>
      <c r="D386" s="3" t="s">
        <v>880</v>
      </c>
      <c r="E386" s="3" t="s">
        <v>32</v>
      </c>
      <c r="F386" s="3" t="s">
        <v>33</v>
      </c>
      <c r="G386" s="3" t="s">
        <v>34</v>
      </c>
      <c r="H386" s="3" t="s">
        <v>35</v>
      </c>
      <c r="I386" s="3" t="s">
        <v>41</v>
      </c>
      <c r="J386" s="5">
        <v>3</v>
      </c>
      <c r="K386" s="3">
        <v>104.99</v>
      </c>
      <c r="L386" s="7">
        <v>0.15</v>
      </c>
      <c r="M386" s="3" t="s">
        <v>23</v>
      </c>
      <c r="N386" s="3">
        <v>314.97000000000003</v>
      </c>
      <c r="O386" s="3">
        <v>47.25</v>
      </c>
      <c r="P386" s="3">
        <v>267.72000000000003</v>
      </c>
    </row>
    <row r="387" spans="1:16" x14ac:dyDescent="0.3">
      <c r="A387" s="3" t="s">
        <v>881</v>
      </c>
      <c r="B387" s="15">
        <v>45977</v>
      </c>
      <c r="C387" s="15" t="str">
        <f t="shared" si="6"/>
        <v>November</v>
      </c>
      <c r="D387" s="3" t="s">
        <v>349</v>
      </c>
      <c r="E387" s="3" t="s">
        <v>18</v>
      </c>
      <c r="F387" s="3" t="s">
        <v>56</v>
      </c>
      <c r="G387" s="3" t="s">
        <v>34</v>
      </c>
      <c r="H387" s="3" t="s">
        <v>62</v>
      </c>
      <c r="I387" s="3" t="s">
        <v>249</v>
      </c>
      <c r="J387" s="5">
        <v>1</v>
      </c>
      <c r="K387" s="3">
        <v>49.99</v>
      </c>
      <c r="L387" s="7">
        <v>0.15</v>
      </c>
      <c r="M387" s="3" t="s">
        <v>80</v>
      </c>
      <c r="N387" s="3">
        <v>49.99</v>
      </c>
      <c r="O387" s="3">
        <v>7.5</v>
      </c>
      <c r="P387" s="3">
        <v>42.49</v>
      </c>
    </row>
    <row r="388" spans="1:16" x14ac:dyDescent="0.3">
      <c r="A388" s="3" t="s">
        <v>882</v>
      </c>
      <c r="B388" s="15">
        <v>45709</v>
      </c>
      <c r="C388" s="15" t="str">
        <f t="shared" si="6"/>
        <v>February</v>
      </c>
      <c r="D388" s="3" t="s">
        <v>883</v>
      </c>
      <c r="E388" s="3" t="s">
        <v>51</v>
      </c>
      <c r="F388" s="3" t="s">
        <v>108</v>
      </c>
      <c r="G388" s="3" t="s">
        <v>34</v>
      </c>
      <c r="H388" s="3" t="s">
        <v>74</v>
      </c>
      <c r="I388" s="3" t="s">
        <v>112</v>
      </c>
      <c r="J388" s="5">
        <v>1</v>
      </c>
      <c r="K388" s="3">
        <v>129.99</v>
      </c>
      <c r="L388" s="7">
        <v>0.1</v>
      </c>
      <c r="M388" s="3" t="s">
        <v>37</v>
      </c>
      <c r="N388" s="3">
        <v>129.99</v>
      </c>
      <c r="O388" s="3">
        <v>13</v>
      </c>
      <c r="P388" s="3">
        <v>116.99</v>
      </c>
    </row>
    <row r="389" spans="1:16" x14ac:dyDescent="0.3">
      <c r="A389" s="3" t="s">
        <v>884</v>
      </c>
      <c r="B389" s="15">
        <v>45900</v>
      </c>
      <c r="C389" s="15" t="str">
        <f t="shared" si="6"/>
        <v>August</v>
      </c>
      <c r="D389" s="3" t="s">
        <v>163</v>
      </c>
      <c r="E389" s="3" t="s">
        <v>72</v>
      </c>
      <c r="F389" s="3" t="s">
        <v>152</v>
      </c>
      <c r="G389" s="3" t="s">
        <v>20</v>
      </c>
      <c r="H389" s="3" t="s">
        <v>74</v>
      </c>
      <c r="I389" s="3" t="s">
        <v>75</v>
      </c>
      <c r="J389" s="5">
        <v>5</v>
      </c>
      <c r="K389" s="3">
        <v>299.99</v>
      </c>
      <c r="L389" s="7">
        <v>0.1</v>
      </c>
      <c r="M389" s="3" t="s">
        <v>37</v>
      </c>
      <c r="N389" s="3">
        <v>1499.95</v>
      </c>
      <c r="O389" s="3">
        <v>150</v>
      </c>
      <c r="P389" s="3">
        <v>1349.95</v>
      </c>
    </row>
    <row r="390" spans="1:16" x14ac:dyDescent="0.3">
      <c r="A390" s="3" t="s">
        <v>885</v>
      </c>
      <c r="B390" s="15">
        <v>45827</v>
      </c>
      <c r="C390" s="15" t="str">
        <f t="shared" si="6"/>
        <v>June</v>
      </c>
      <c r="D390" s="3" t="s">
        <v>61</v>
      </c>
      <c r="E390" s="3" t="s">
        <v>32</v>
      </c>
      <c r="F390" s="3" t="s">
        <v>33</v>
      </c>
      <c r="G390" s="3" t="s">
        <v>20</v>
      </c>
      <c r="H390" s="3" t="s">
        <v>74</v>
      </c>
      <c r="I390" s="3" t="s">
        <v>112</v>
      </c>
      <c r="J390" s="5">
        <v>1</v>
      </c>
      <c r="K390" s="3">
        <v>129.99</v>
      </c>
      <c r="L390" s="7">
        <v>0.05</v>
      </c>
      <c r="M390" s="3" t="s">
        <v>80</v>
      </c>
      <c r="N390" s="3">
        <v>129.99</v>
      </c>
      <c r="O390" s="3">
        <v>6.5</v>
      </c>
      <c r="P390" s="3">
        <v>123.49</v>
      </c>
    </row>
    <row r="391" spans="1:16" x14ac:dyDescent="0.3">
      <c r="A391" s="3" t="s">
        <v>886</v>
      </c>
      <c r="B391" s="15">
        <v>45817</v>
      </c>
      <c r="C391" s="15" t="str">
        <f t="shared" si="6"/>
        <v>June</v>
      </c>
      <c r="D391" s="3" t="s">
        <v>887</v>
      </c>
      <c r="E391" s="3" t="s">
        <v>18</v>
      </c>
      <c r="F391" s="3" t="s">
        <v>19</v>
      </c>
      <c r="G391" s="3" t="s">
        <v>34</v>
      </c>
      <c r="H391" s="3" t="s">
        <v>74</v>
      </c>
      <c r="I391" s="3" t="s">
        <v>75</v>
      </c>
      <c r="J391" s="5">
        <v>3</v>
      </c>
      <c r="K391" s="3">
        <v>299.99</v>
      </c>
      <c r="L391" s="7">
        <v>0</v>
      </c>
      <c r="M391" s="3" t="s">
        <v>80</v>
      </c>
      <c r="N391" s="3">
        <v>899.97</v>
      </c>
      <c r="O391" s="3">
        <v>0</v>
      </c>
      <c r="P391" s="3">
        <v>899.97</v>
      </c>
    </row>
    <row r="392" spans="1:16" x14ac:dyDescent="0.3">
      <c r="A392" s="3" t="s">
        <v>888</v>
      </c>
      <c r="B392" s="15">
        <v>45871</v>
      </c>
      <c r="C392" s="15" t="str">
        <f t="shared" si="6"/>
        <v>August</v>
      </c>
      <c r="D392" s="3" t="s">
        <v>889</v>
      </c>
      <c r="E392" s="3" t="s">
        <v>18</v>
      </c>
      <c r="F392" s="3" t="s">
        <v>56</v>
      </c>
      <c r="G392" s="3" t="s">
        <v>20</v>
      </c>
      <c r="H392" s="3" t="s">
        <v>35</v>
      </c>
      <c r="I392" s="3" t="s">
        <v>41</v>
      </c>
      <c r="J392" s="5">
        <v>3</v>
      </c>
      <c r="K392" s="3">
        <v>104.99</v>
      </c>
      <c r="L392" s="7">
        <v>0</v>
      </c>
      <c r="M392" s="3" t="s">
        <v>47</v>
      </c>
      <c r="N392" s="3">
        <v>314.97000000000003</v>
      </c>
      <c r="O392" s="3">
        <v>0</v>
      </c>
      <c r="P392" s="3">
        <v>314.97000000000003</v>
      </c>
    </row>
    <row r="393" spans="1:16" x14ac:dyDescent="0.3">
      <c r="A393" s="3" t="s">
        <v>890</v>
      </c>
      <c r="B393" s="15">
        <v>45686</v>
      </c>
      <c r="C393" s="15" t="str">
        <f t="shared" si="6"/>
        <v>January</v>
      </c>
      <c r="D393" s="3" t="s">
        <v>107</v>
      </c>
      <c r="E393" s="3" t="s">
        <v>72</v>
      </c>
      <c r="F393" s="3" t="s">
        <v>152</v>
      </c>
      <c r="G393" s="3" t="s">
        <v>20</v>
      </c>
      <c r="H393" s="3" t="s">
        <v>74</v>
      </c>
      <c r="I393" s="3" t="s">
        <v>112</v>
      </c>
      <c r="J393" s="5">
        <v>5</v>
      </c>
      <c r="K393" s="3">
        <v>129.99</v>
      </c>
      <c r="L393" s="7">
        <v>0</v>
      </c>
      <c r="M393" s="3" t="s">
        <v>80</v>
      </c>
      <c r="N393" s="3">
        <v>649.95000000000005</v>
      </c>
      <c r="O393" s="3">
        <v>0</v>
      </c>
      <c r="P393" s="3">
        <v>649.95000000000005</v>
      </c>
    </row>
    <row r="394" spans="1:16" x14ac:dyDescent="0.3">
      <c r="A394" s="3" t="s">
        <v>891</v>
      </c>
      <c r="B394" s="15">
        <v>45760</v>
      </c>
      <c r="C394" s="15" t="str">
        <f t="shared" si="6"/>
        <v>April</v>
      </c>
      <c r="D394" s="3" t="s">
        <v>892</v>
      </c>
      <c r="E394" s="3" t="s">
        <v>51</v>
      </c>
      <c r="F394" s="3" t="s">
        <v>108</v>
      </c>
      <c r="G394" s="3" t="s">
        <v>20</v>
      </c>
      <c r="H394" s="3" t="s">
        <v>57</v>
      </c>
      <c r="I394" s="3" t="s">
        <v>130</v>
      </c>
      <c r="J394" s="5">
        <v>2</v>
      </c>
      <c r="K394" s="3">
        <v>109.99</v>
      </c>
      <c r="L394" s="7">
        <v>0</v>
      </c>
      <c r="M394" s="3" t="s">
        <v>47</v>
      </c>
      <c r="N394" s="3">
        <v>219.98</v>
      </c>
      <c r="O394" s="3">
        <v>0</v>
      </c>
      <c r="P394" s="3">
        <v>219.98</v>
      </c>
    </row>
    <row r="395" spans="1:16" x14ac:dyDescent="0.3">
      <c r="A395" s="3" t="s">
        <v>893</v>
      </c>
      <c r="B395" s="15">
        <v>45798</v>
      </c>
      <c r="C395" s="15" t="str">
        <f t="shared" si="6"/>
        <v>May</v>
      </c>
      <c r="D395" s="3" t="s">
        <v>453</v>
      </c>
      <c r="E395" s="3" t="s">
        <v>27</v>
      </c>
      <c r="F395" s="3" t="s">
        <v>67</v>
      </c>
      <c r="G395" s="3" t="s">
        <v>34</v>
      </c>
      <c r="H395" s="3" t="s">
        <v>21</v>
      </c>
      <c r="I395" s="3" t="s">
        <v>46</v>
      </c>
      <c r="J395" s="5">
        <v>6</v>
      </c>
      <c r="K395" s="3">
        <v>119.99</v>
      </c>
      <c r="L395" s="7">
        <v>0</v>
      </c>
      <c r="M395" s="3" t="s">
        <v>23</v>
      </c>
      <c r="N395" s="3">
        <v>719.94</v>
      </c>
      <c r="O395" s="3">
        <v>0</v>
      </c>
      <c r="P395" s="3">
        <v>719.94</v>
      </c>
    </row>
    <row r="396" spans="1:16" x14ac:dyDescent="0.3">
      <c r="A396" s="3" t="s">
        <v>894</v>
      </c>
      <c r="B396" s="15">
        <v>45886</v>
      </c>
      <c r="C396" s="15" t="str">
        <f t="shared" si="6"/>
        <v>August</v>
      </c>
      <c r="D396" s="3" t="s">
        <v>896</v>
      </c>
      <c r="E396" s="3" t="s">
        <v>51</v>
      </c>
      <c r="F396" s="3" t="s">
        <v>52</v>
      </c>
      <c r="G396" s="3" t="s">
        <v>34</v>
      </c>
      <c r="H396" s="3" t="s">
        <v>21</v>
      </c>
      <c r="I396" s="3" t="s">
        <v>22</v>
      </c>
      <c r="J396" s="5">
        <v>4</v>
      </c>
      <c r="K396" s="3">
        <v>89.99</v>
      </c>
      <c r="L396" s="7">
        <v>0.1</v>
      </c>
      <c r="M396" s="3" t="s">
        <v>37</v>
      </c>
      <c r="N396" s="3">
        <v>359.96</v>
      </c>
      <c r="O396" s="3">
        <v>36</v>
      </c>
      <c r="P396" s="3">
        <v>323.95999999999998</v>
      </c>
    </row>
    <row r="397" spans="1:16" x14ac:dyDescent="0.3">
      <c r="A397" s="3" t="s">
        <v>897</v>
      </c>
      <c r="B397" s="15">
        <v>45855</v>
      </c>
      <c r="C397" s="15" t="str">
        <f t="shared" si="6"/>
        <v>July</v>
      </c>
      <c r="D397" s="3" t="s">
        <v>568</v>
      </c>
      <c r="E397" s="3" t="s">
        <v>18</v>
      </c>
      <c r="F397" s="3" t="s">
        <v>19</v>
      </c>
      <c r="G397" s="3" t="s">
        <v>20</v>
      </c>
      <c r="H397" s="3" t="s">
        <v>57</v>
      </c>
      <c r="I397" s="3" t="s">
        <v>58</v>
      </c>
      <c r="J397" s="5">
        <v>3</v>
      </c>
      <c r="K397" s="3">
        <v>89.99</v>
      </c>
      <c r="L397" s="7">
        <v>0</v>
      </c>
      <c r="M397" s="3" t="s">
        <v>47</v>
      </c>
      <c r="N397" s="3">
        <v>269.97000000000003</v>
      </c>
      <c r="O397" s="3">
        <v>0</v>
      </c>
      <c r="P397" s="3">
        <v>269.97000000000003</v>
      </c>
    </row>
    <row r="398" spans="1:16" x14ac:dyDescent="0.3">
      <c r="A398" s="3" t="s">
        <v>898</v>
      </c>
      <c r="B398" s="15">
        <v>45920</v>
      </c>
      <c r="C398" s="15" t="str">
        <f t="shared" si="6"/>
        <v>September</v>
      </c>
      <c r="D398" s="3" t="s">
        <v>565</v>
      </c>
      <c r="E398" s="3" t="s">
        <v>51</v>
      </c>
      <c r="F398" s="3" t="s">
        <v>52</v>
      </c>
      <c r="G398" s="3" t="s">
        <v>20</v>
      </c>
      <c r="H398" s="3" t="s">
        <v>35</v>
      </c>
      <c r="I398" s="3" t="s">
        <v>41</v>
      </c>
      <c r="J398" s="5">
        <v>6</v>
      </c>
      <c r="K398" s="3">
        <v>104.99</v>
      </c>
      <c r="L398" s="7">
        <v>0.05</v>
      </c>
      <c r="M398" s="3" t="s">
        <v>23</v>
      </c>
      <c r="N398" s="3">
        <v>629.94000000000005</v>
      </c>
      <c r="O398" s="3">
        <v>31.5</v>
      </c>
      <c r="P398" s="3">
        <v>598.44000000000005</v>
      </c>
    </row>
    <row r="399" spans="1:16" x14ac:dyDescent="0.3">
      <c r="A399" s="3" t="s">
        <v>900</v>
      </c>
      <c r="B399" s="15">
        <v>45969</v>
      </c>
      <c r="C399" s="15" t="str">
        <f t="shared" si="6"/>
        <v>November</v>
      </c>
      <c r="D399" s="3" t="s">
        <v>657</v>
      </c>
      <c r="E399" s="3" t="s">
        <v>32</v>
      </c>
      <c r="F399" s="3" t="s">
        <v>45</v>
      </c>
      <c r="G399" s="3" t="s">
        <v>34</v>
      </c>
      <c r="H399" s="3" t="s">
        <v>35</v>
      </c>
      <c r="I399" s="3" t="s">
        <v>41</v>
      </c>
      <c r="J399" s="5">
        <v>2</v>
      </c>
      <c r="K399" s="3">
        <v>104.99</v>
      </c>
      <c r="L399" s="7">
        <v>0</v>
      </c>
      <c r="M399" s="3" t="s">
        <v>37</v>
      </c>
      <c r="N399" s="3">
        <v>209.98</v>
      </c>
      <c r="O399" s="3">
        <v>0</v>
      </c>
      <c r="P399" s="3">
        <v>209.98</v>
      </c>
    </row>
    <row r="400" spans="1:16" x14ac:dyDescent="0.3">
      <c r="A400" s="3" t="s">
        <v>901</v>
      </c>
      <c r="B400" s="15">
        <v>45896</v>
      </c>
      <c r="C400" s="15" t="str">
        <f t="shared" si="6"/>
        <v>August</v>
      </c>
      <c r="D400" s="3" t="s">
        <v>663</v>
      </c>
      <c r="E400" s="3" t="s">
        <v>18</v>
      </c>
      <c r="F400" s="3" t="s">
        <v>56</v>
      </c>
      <c r="G400" s="3" t="s">
        <v>34</v>
      </c>
      <c r="H400" s="3" t="s">
        <v>74</v>
      </c>
      <c r="I400" s="3" t="s">
        <v>75</v>
      </c>
      <c r="J400" s="5">
        <v>3</v>
      </c>
      <c r="K400" s="3">
        <v>299.99</v>
      </c>
      <c r="L400" s="7">
        <v>0</v>
      </c>
      <c r="M400" s="3" t="s">
        <v>80</v>
      </c>
      <c r="N400" s="3">
        <v>899.97</v>
      </c>
      <c r="O400" s="3">
        <v>0</v>
      </c>
      <c r="P400" s="3">
        <v>899.97</v>
      </c>
    </row>
    <row r="401" spans="1:16" x14ac:dyDescent="0.3">
      <c r="A401" s="3" t="s">
        <v>902</v>
      </c>
      <c r="B401" s="15">
        <v>45713</v>
      </c>
      <c r="C401" s="15" t="str">
        <f t="shared" si="6"/>
        <v>February</v>
      </c>
      <c r="D401" s="3" t="s">
        <v>325</v>
      </c>
      <c r="E401" s="3" t="s">
        <v>32</v>
      </c>
      <c r="F401" s="3" t="s">
        <v>33</v>
      </c>
      <c r="G401" s="3" t="s">
        <v>20</v>
      </c>
      <c r="H401" s="3" t="s">
        <v>21</v>
      </c>
      <c r="I401" s="3" t="s">
        <v>87</v>
      </c>
      <c r="J401" s="5">
        <v>3</v>
      </c>
      <c r="K401" s="3">
        <v>149.99</v>
      </c>
      <c r="L401" s="7">
        <v>0.15</v>
      </c>
      <c r="M401" s="3" t="s">
        <v>37</v>
      </c>
      <c r="N401" s="3">
        <v>449.97</v>
      </c>
      <c r="O401" s="3">
        <v>67.5</v>
      </c>
      <c r="P401" s="3">
        <v>382.47</v>
      </c>
    </row>
    <row r="402" spans="1:16" x14ac:dyDescent="0.3">
      <c r="A402" s="3" t="s">
        <v>903</v>
      </c>
      <c r="B402" s="15">
        <v>45991</v>
      </c>
      <c r="C402" s="15" t="str">
        <f t="shared" si="6"/>
        <v>November</v>
      </c>
      <c r="D402" s="3" t="s">
        <v>904</v>
      </c>
      <c r="E402" s="3" t="s">
        <v>18</v>
      </c>
      <c r="F402" s="3" t="s">
        <v>56</v>
      </c>
      <c r="G402" s="3" t="s">
        <v>20</v>
      </c>
      <c r="H402" s="3" t="s">
        <v>57</v>
      </c>
      <c r="I402" s="3" t="s">
        <v>189</v>
      </c>
      <c r="J402" s="5">
        <v>6</v>
      </c>
      <c r="K402" s="3">
        <v>119.99</v>
      </c>
      <c r="L402" s="7">
        <v>0.15</v>
      </c>
      <c r="M402" s="3" t="s">
        <v>47</v>
      </c>
      <c r="N402" s="3">
        <v>719.94</v>
      </c>
      <c r="O402" s="3">
        <v>107.99</v>
      </c>
      <c r="P402" s="3">
        <v>611.95000000000005</v>
      </c>
    </row>
    <row r="403" spans="1:16" x14ac:dyDescent="0.3">
      <c r="A403" s="3" t="s">
        <v>905</v>
      </c>
      <c r="B403" s="15">
        <v>45821</v>
      </c>
      <c r="C403" s="15" t="str">
        <f t="shared" si="6"/>
        <v>June</v>
      </c>
      <c r="D403" s="3" t="s">
        <v>575</v>
      </c>
      <c r="E403" s="3" t="s">
        <v>27</v>
      </c>
      <c r="F403" s="3" t="s">
        <v>123</v>
      </c>
      <c r="G403" s="3" t="s">
        <v>20</v>
      </c>
      <c r="H403" s="3" t="s">
        <v>62</v>
      </c>
      <c r="I403" s="3" t="s">
        <v>63</v>
      </c>
      <c r="J403" s="5">
        <v>4</v>
      </c>
      <c r="K403" s="3">
        <v>199.99</v>
      </c>
      <c r="L403" s="7">
        <v>0.15</v>
      </c>
      <c r="M403" s="3" t="s">
        <v>80</v>
      </c>
      <c r="N403" s="3">
        <v>799.96</v>
      </c>
      <c r="O403" s="3">
        <v>119.99</v>
      </c>
      <c r="P403" s="3">
        <v>679.97</v>
      </c>
    </row>
    <row r="404" spans="1:16" x14ac:dyDescent="0.3">
      <c r="A404" s="3" t="s">
        <v>906</v>
      </c>
      <c r="B404" s="15">
        <v>45676</v>
      </c>
      <c r="C404" s="15" t="str">
        <f t="shared" si="6"/>
        <v>January</v>
      </c>
      <c r="D404" s="3" t="s">
        <v>908</v>
      </c>
      <c r="E404" s="3" t="s">
        <v>18</v>
      </c>
      <c r="F404" s="3" t="s">
        <v>56</v>
      </c>
      <c r="G404" s="3" t="s">
        <v>20</v>
      </c>
      <c r="H404" s="3" t="s">
        <v>74</v>
      </c>
      <c r="I404" s="3" t="s">
        <v>75</v>
      </c>
      <c r="J404" s="5">
        <v>4</v>
      </c>
      <c r="K404" s="3">
        <v>299.99</v>
      </c>
      <c r="L404" s="7">
        <v>0.05</v>
      </c>
      <c r="M404" s="3" t="s">
        <v>37</v>
      </c>
      <c r="N404" s="3">
        <v>1199.96</v>
      </c>
      <c r="O404" s="3">
        <v>60</v>
      </c>
      <c r="P404" s="3">
        <v>1139.96</v>
      </c>
    </row>
    <row r="405" spans="1:16" x14ac:dyDescent="0.3">
      <c r="A405" s="3" t="s">
        <v>909</v>
      </c>
      <c r="B405" s="15">
        <v>45943</v>
      </c>
      <c r="C405" s="15" t="str">
        <f t="shared" si="6"/>
        <v>October</v>
      </c>
      <c r="D405" s="3" t="s">
        <v>469</v>
      </c>
      <c r="E405" s="3" t="s">
        <v>18</v>
      </c>
      <c r="F405" s="3" t="s">
        <v>56</v>
      </c>
      <c r="G405" s="3" t="s">
        <v>34</v>
      </c>
      <c r="H405" s="3" t="s">
        <v>35</v>
      </c>
      <c r="I405" s="3" t="s">
        <v>36</v>
      </c>
      <c r="J405" s="5">
        <v>2</v>
      </c>
      <c r="K405" s="3">
        <v>79.989999999999995</v>
      </c>
      <c r="L405" s="7">
        <v>0.15</v>
      </c>
      <c r="M405" s="3" t="s">
        <v>80</v>
      </c>
      <c r="N405" s="3">
        <v>159.97999999999999</v>
      </c>
      <c r="O405" s="3">
        <v>24</v>
      </c>
      <c r="P405" s="3">
        <v>135.97999999999999</v>
      </c>
    </row>
    <row r="406" spans="1:16" x14ac:dyDescent="0.3">
      <c r="A406" s="3" t="s">
        <v>910</v>
      </c>
      <c r="B406" s="15">
        <v>45993</v>
      </c>
      <c r="C406" s="15" t="str">
        <f t="shared" si="6"/>
        <v>December</v>
      </c>
      <c r="D406" s="3" t="s">
        <v>880</v>
      </c>
      <c r="E406" s="3" t="s">
        <v>18</v>
      </c>
      <c r="F406" s="3" t="s">
        <v>19</v>
      </c>
      <c r="G406" s="3" t="s">
        <v>20</v>
      </c>
      <c r="H406" s="3" t="s">
        <v>74</v>
      </c>
      <c r="I406" s="3" t="s">
        <v>112</v>
      </c>
      <c r="J406" s="5">
        <v>6</v>
      </c>
      <c r="K406" s="3">
        <v>129.99</v>
      </c>
      <c r="L406" s="7">
        <v>0</v>
      </c>
      <c r="M406" s="3" t="s">
        <v>37</v>
      </c>
      <c r="N406" s="3">
        <v>779.94</v>
      </c>
      <c r="O406" s="3">
        <v>0</v>
      </c>
      <c r="P406" s="3">
        <v>779.94</v>
      </c>
    </row>
    <row r="407" spans="1:16" x14ac:dyDescent="0.3">
      <c r="A407" s="3" t="s">
        <v>911</v>
      </c>
      <c r="B407" s="15">
        <v>45957</v>
      </c>
      <c r="C407" s="15" t="str">
        <f t="shared" si="6"/>
        <v>October</v>
      </c>
      <c r="D407" s="3" t="s">
        <v>44</v>
      </c>
      <c r="E407" s="3" t="s">
        <v>72</v>
      </c>
      <c r="F407" s="3" t="s">
        <v>152</v>
      </c>
      <c r="G407" s="3" t="s">
        <v>34</v>
      </c>
      <c r="H407" s="3" t="s">
        <v>35</v>
      </c>
      <c r="I407" s="3" t="s">
        <v>134</v>
      </c>
      <c r="J407" s="5">
        <v>3</v>
      </c>
      <c r="K407" s="3">
        <v>139.99</v>
      </c>
      <c r="L407" s="7">
        <v>0</v>
      </c>
      <c r="M407" s="3" t="s">
        <v>80</v>
      </c>
      <c r="N407" s="3">
        <v>419.97</v>
      </c>
      <c r="O407" s="3">
        <v>0</v>
      </c>
      <c r="P407" s="3">
        <v>419.97</v>
      </c>
    </row>
    <row r="408" spans="1:16" x14ac:dyDescent="0.3">
      <c r="A408" s="3" t="s">
        <v>913</v>
      </c>
      <c r="B408" s="15">
        <v>45914</v>
      </c>
      <c r="C408" s="15" t="str">
        <f t="shared" si="6"/>
        <v>September</v>
      </c>
      <c r="D408" s="3" t="s">
        <v>534</v>
      </c>
      <c r="E408" s="3" t="s">
        <v>32</v>
      </c>
      <c r="F408" s="3" t="s">
        <v>45</v>
      </c>
      <c r="G408" s="3" t="s">
        <v>34</v>
      </c>
      <c r="H408" s="3" t="s">
        <v>74</v>
      </c>
      <c r="I408" s="3" t="s">
        <v>112</v>
      </c>
      <c r="J408" s="5">
        <v>4</v>
      </c>
      <c r="K408" s="3">
        <v>129.99</v>
      </c>
      <c r="L408" s="7">
        <v>0</v>
      </c>
      <c r="M408" s="3" t="s">
        <v>37</v>
      </c>
      <c r="N408" s="3">
        <v>519.96</v>
      </c>
      <c r="O408" s="3">
        <v>0</v>
      </c>
      <c r="P408" s="3">
        <v>519.96</v>
      </c>
    </row>
    <row r="409" spans="1:16" x14ac:dyDescent="0.3">
      <c r="A409" s="3" t="s">
        <v>915</v>
      </c>
      <c r="B409" s="15">
        <v>45867</v>
      </c>
      <c r="C409" s="15" t="str">
        <f t="shared" si="6"/>
        <v>July</v>
      </c>
      <c r="D409" s="3" t="s">
        <v>254</v>
      </c>
      <c r="E409" s="3" t="s">
        <v>51</v>
      </c>
      <c r="F409" s="3" t="s">
        <v>108</v>
      </c>
      <c r="G409" s="3" t="s">
        <v>34</v>
      </c>
      <c r="H409" s="3" t="s">
        <v>74</v>
      </c>
      <c r="I409" s="3" t="s">
        <v>112</v>
      </c>
      <c r="J409" s="5">
        <v>2</v>
      </c>
      <c r="K409" s="3">
        <v>129.99</v>
      </c>
      <c r="L409" s="7">
        <v>0</v>
      </c>
      <c r="M409" s="3" t="s">
        <v>47</v>
      </c>
      <c r="N409" s="3">
        <v>259.98</v>
      </c>
      <c r="O409" s="3">
        <v>0</v>
      </c>
      <c r="P409" s="3">
        <v>259.98</v>
      </c>
    </row>
    <row r="410" spans="1:16" x14ac:dyDescent="0.3">
      <c r="A410" s="3" t="s">
        <v>916</v>
      </c>
      <c r="B410" s="15">
        <v>45748</v>
      </c>
      <c r="C410" s="15" t="str">
        <f t="shared" si="6"/>
        <v>April</v>
      </c>
      <c r="D410" s="3" t="s">
        <v>531</v>
      </c>
      <c r="E410" s="3" t="s">
        <v>27</v>
      </c>
      <c r="F410" s="3" t="s">
        <v>67</v>
      </c>
      <c r="G410" s="3" t="s">
        <v>20</v>
      </c>
      <c r="H410" s="3" t="s">
        <v>57</v>
      </c>
      <c r="I410" s="3" t="s">
        <v>58</v>
      </c>
      <c r="J410" s="5">
        <v>3</v>
      </c>
      <c r="K410" s="3">
        <v>89.99</v>
      </c>
      <c r="L410" s="7">
        <v>0.15</v>
      </c>
      <c r="M410" s="3" t="s">
        <v>80</v>
      </c>
      <c r="N410" s="3">
        <v>269.97000000000003</v>
      </c>
      <c r="O410" s="3">
        <v>40.5</v>
      </c>
      <c r="P410" s="3">
        <v>229.47</v>
      </c>
    </row>
    <row r="411" spans="1:16" x14ac:dyDescent="0.3">
      <c r="A411" s="3" t="s">
        <v>917</v>
      </c>
      <c r="B411" s="15">
        <v>45908</v>
      </c>
      <c r="C411" s="15" t="str">
        <f t="shared" si="6"/>
        <v>September</v>
      </c>
      <c r="D411" s="3" t="s">
        <v>883</v>
      </c>
      <c r="E411" s="3" t="s">
        <v>51</v>
      </c>
      <c r="F411" s="3" t="s">
        <v>108</v>
      </c>
      <c r="G411" s="3" t="s">
        <v>20</v>
      </c>
      <c r="H411" s="3" t="s">
        <v>74</v>
      </c>
      <c r="I411" s="3" t="s">
        <v>75</v>
      </c>
      <c r="J411" s="5">
        <v>5</v>
      </c>
      <c r="K411" s="3">
        <v>299.99</v>
      </c>
      <c r="L411" s="7">
        <v>0</v>
      </c>
      <c r="M411" s="3" t="s">
        <v>47</v>
      </c>
      <c r="N411" s="3">
        <v>1499.95</v>
      </c>
      <c r="O411" s="3">
        <v>0</v>
      </c>
      <c r="P411" s="3">
        <v>1499.95</v>
      </c>
    </row>
    <row r="412" spans="1:16" x14ac:dyDescent="0.3">
      <c r="A412" s="3" t="s">
        <v>918</v>
      </c>
      <c r="B412" s="15">
        <v>45854</v>
      </c>
      <c r="C412" s="15" t="str">
        <f t="shared" si="6"/>
        <v>July</v>
      </c>
      <c r="D412" s="3" t="s">
        <v>203</v>
      </c>
      <c r="E412" s="3" t="s">
        <v>72</v>
      </c>
      <c r="F412" s="3" t="s">
        <v>152</v>
      </c>
      <c r="G412" s="3" t="s">
        <v>20</v>
      </c>
      <c r="H412" s="3" t="s">
        <v>62</v>
      </c>
      <c r="I412" s="3" t="s">
        <v>79</v>
      </c>
      <c r="J412" s="5">
        <v>4</v>
      </c>
      <c r="K412" s="3">
        <v>249.99</v>
      </c>
      <c r="L412" s="7">
        <v>0.05</v>
      </c>
      <c r="M412" s="3" t="s">
        <v>47</v>
      </c>
      <c r="N412" s="3">
        <v>999.96</v>
      </c>
      <c r="O412" s="3">
        <v>50</v>
      </c>
      <c r="P412" s="3">
        <v>949.96</v>
      </c>
    </row>
    <row r="413" spans="1:16" x14ac:dyDescent="0.3">
      <c r="A413" s="3" t="s">
        <v>920</v>
      </c>
      <c r="B413" s="15">
        <v>45660</v>
      </c>
      <c r="C413" s="15" t="str">
        <f t="shared" si="6"/>
        <v>January</v>
      </c>
      <c r="D413" s="3" t="s">
        <v>654</v>
      </c>
      <c r="E413" s="3" t="s">
        <v>18</v>
      </c>
      <c r="F413" s="3" t="s">
        <v>19</v>
      </c>
      <c r="G413" s="3" t="s">
        <v>20</v>
      </c>
      <c r="H413" s="3" t="s">
        <v>57</v>
      </c>
      <c r="I413" s="3" t="s">
        <v>300</v>
      </c>
      <c r="J413" s="5">
        <v>1</v>
      </c>
      <c r="K413" s="3">
        <v>179.99</v>
      </c>
      <c r="L413" s="7">
        <v>0.15</v>
      </c>
      <c r="M413" s="3" t="s">
        <v>47</v>
      </c>
      <c r="N413" s="3">
        <v>179.99</v>
      </c>
      <c r="O413" s="3">
        <v>27</v>
      </c>
      <c r="P413" s="3">
        <v>152.99</v>
      </c>
    </row>
    <row r="414" spans="1:16" x14ac:dyDescent="0.3">
      <c r="A414" s="3" t="s">
        <v>922</v>
      </c>
      <c r="B414" s="15">
        <v>45959</v>
      </c>
      <c r="C414" s="15" t="str">
        <f t="shared" si="6"/>
        <v>October</v>
      </c>
      <c r="D414" s="3" t="s">
        <v>923</v>
      </c>
      <c r="E414" s="3" t="s">
        <v>51</v>
      </c>
      <c r="F414" s="3" t="s">
        <v>108</v>
      </c>
      <c r="G414" s="3" t="s">
        <v>20</v>
      </c>
      <c r="H414" s="3" t="s">
        <v>57</v>
      </c>
      <c r="I414" s="3" t="s">
        <v>189</v>
      </c>
      <c r="J414" s="5">
        <v>4</v>
      </c>
      <c r="K414" s="3">
        <v>119.99</v>
      </c>
      <c r="L414" s="7">
        <v>0.1</v>
      </c>
      <c r="M414" s="3" t="s">
        <v>80</v>
      </c>
      <c r="N414" s="3">
        <v>479.96</v>
      </c>
      <c r="O414" s="3">
        <v>48</v>
      </c>
      <c r="P414" s="3">
        <v>431.96</v>
      </c>
    </row>
    <row r="415" spans="1:16" x14ac:dyDescent="0.3">
      <c r="A415" s="3" t="s">
        <v>924</v>
      </c>
      <c r="B415" s="15">
        <v>45963</v>
      </c>
      <c r="C415" s="15" t="str">
        <f t="shared" si="6"/>
        <v>November</v>
      </c>
      <c r="D415" s="3" t="s">
        <v>332</v>
      </c>
      <c r="E415" s="3" t="s">
        <v>18</v>
      </c>
      <c r="F415" s="3" t="s">
        <v>56</v>
      </c>
      <c r="G415" s="3" t="s">
        <v>34</v>
      </c>
      <c r="H415" s="3" t="s">
        <v>21</v>
      </c>
      <c r="I415" s="3" t="s">
        <v>87</v>
      </c>
      <c r="J415" s="5">
        <v>6</v>
      </c>
      <c r="K415" s="3">
        <v>149.99</v>
      </c>
      <c r="L415" s="7">
        <v>0.1</v>
      </c>
      <c r="M415" s="3" t="s">
        <v>23</v>
      </c>
      <c r="N415" s="3">
        <v>899.94</v>
      </c>
      <c r="O415" s="3">
        <v>89.99</v>
      </c>
      <c r="P415" s="3">
        <v>809.95</v>
      </c>
    </row>
    <row r="416" spans="1:16" x14ac:dyDescent="0.3">
      <c r="A416" s="3" t="s">
        <v>925</v>
      </c>
      <c r="B416" s="15">
        <v>45864</v>
      </c>
      <c r="C416" s="15" t="str">
        <f t="shared" si="6"/>
        <v>July</v>
      </c>
      <c r="D416" s="3" t="s">
        <v>92</v>
      </c>
      <c r="E416" s="3" t="s">
        <v>72</v>
      </c>
      <c r="F416" s="3" t="s">
        <v>152</v>
      </c>
      <c r="G416" s="3" t="s">
        <v>20</v>
      </c>
      <c r="H416" s="3" t="s">
        <v>35</v>
      </c>
      <c r="I416" s="3" t="s">
        <v>134</v>
      </c>
      <c r="J416" s="5">
        <v>2</v>
      </c>
      <c r="K416" s="3">
        <v>139.99</v>
      </c>
      <c r="L416" s="7">
        <v>0</v>
      </c>
      <c r="M416" s="3" t="s">
        <v>47</v>
      </c>
      <c r="N416" s="3">
        <v>279.98</v>
      </c>
      <c r="O416" s="3">
        <v>0</v>
      </c>
      <c r="P416" s="3">
        <v>279.98</v>
      </c>
    </row>
    <row r="417" spans="1:16" x14ac:dyDescent="0.3">
      <c r="A417" s="3" t="s">
        <v>927</v>
      </c>
      <c r="B417" s="15">
        <v>45721</v>
      </c>
      <c r="C417" s="15" t="str">
        <f t="shared" si="6"/>
        <v>March</v>
      </c>
      <c r="D417" s="3" t="s">
        <v>928</v>
      </c>
      <c r="E417" s="3" t="s">
        <v>27</v>
      </c>
      <c r="F417" s="3" t="s">
        <v>123</v>
      </c>
      <c r="G417" s="3" t="s">
        <v>20</v>
      </c>
      <c r="H417" s="3" t="s">
        <v>35</v>
      </c>
      <c r="I417" s="3" t="s">
        <v>41</v>
      </c>
      <c r="J417" s="5">
        <v>5</v>
      </c>
      <c r="K417" s="3">
        <v>104.99</v>
      </c>
      <c r="L417" s="7">
        <v>0</v>
      </c>
      <c r="M417" s="3" t="s">
        <v>23</v>
      </c>
      <c r="N417" s="3">
        <v>524.95000000000005</v>
      </c>
      <c r="O417" s="3">
        <v>0</v>
      </c>
      <c r="P417" s="3">
        <v>524.95000000000005</v>
      </c>
    </row>
    <row r="418" spans="1:16" x14ac:dyDescent="0.3">
      <c r="A418" s="3" t="s">
        <v>929</v>
      </c>
      <c r="B418" s="15">
        <v>45992</v>
      </c>
      <c r="C418" s="15" t="str">
        <f t="shared" si="6"/>
        <v>December</v>
      </c>
      <c r="D418" s="3" t="s">
        <v>892</v>
      </c>
      <c r="E418" s="3" t="s">
        <v>32</v>
      </c>
      <c r="F418" s="3" t="s">
        <v>45</v>
      </c>
      <c r="G418" s="3" t="s">
        <v>20</v>
      </c>
      <c r="H418" s="3" t="s">
        <v>57</v>
      </c>
      <c r="I418" s="3" t="s">
        <v>300</v>
      </c>
      <c r="J418" s="5">
        <v>6</v>
      </c>
      <c r="K418" s="3">
        <v>179.99</v>
      </c>
      <c r="L418" s="7">
        <v>0</v>
      </c>
      <c r="M418" s="3" t="s">
        <v>80</v>
      </c>
      <c r="N418" s="3">
        <v>1079.94</v>
      </c>
      <c r="O418" s="3">
        <v>0</v>
      </c>
      <c r="P418" s="3">
        <v>1079.94</v>
      </c>
    </row>
    <row r="419" spans="1:16" x14ac:dyDescent="0.3">
      <c r="A419" s="3" t="s">
        <v>930</v>
      </c>
      <c r="B419" s="15">
        <v>45787</v>
      </c>
      <c r="C419" s="15" t="str">
        <f t="shared" si="6"/>
        <v>May</v>
      </c>
      <c r="D419" s="3" t="s">
        <v>111</v>
      </c>
      <c r="E419" s="3" t="s">
        <v>72</v>
      </c>
      <c r="F419" s="3" t="s">
        <v>152</v>
      </c>
      <c r="G419" s="3" t="s">
        <v>20</v>
      </c>
      <c r="H419" s="3" t="s">
        <v>21</v>
      </c>
      <c r="I419" s="3" t="s">
        <v>46</v>
      </c>
      <c r="J419" s="5">
        <v>1</v>
      </c>
      <c r="K419" s="3">
        <v>119.99</v>
      </c>
      <c r="L419" s="7">
        <v>0.1</v>
      </c>
      <c r="M419" s="3" t="s">
        <v>47</v>
      </c>
      <c r="N419" s="3">
        <v>119.99</v>
      </c>
      <c r="O419" s="3">
        <v>12</v>
      </c>
      <c r="P419" s="3">
        <v>107.99</v>
      </c>
    </row>
    <row r="420" spans="1:16" x14ac:dyDescent="0.3">
      <c r="A420" s="3" t="s">
        <v>931</v>
      </c>
      <c r="B420" s="15">
        <v>45796</v>
      </c>
      <c r="C420" s="15" t="str">
        <f t="shared" si="6"/>
        <v>May</v>
      </c>
      <c r="D420" s="3" t="s">
        <v>185</v>
      </c>
      <c r="E420" s="3" t="s">
        <v>72</v>
      </c>
      <c r="F420" s="3" t="s">
        <v>73</v>
      </c>
      <c r="G420" s="3" t="s">
        <v>20</v>
      </c>
      <c r="H420" s="3" t="s">
        <v>21</v>
      </c>
      <c r="I420" s="3" t="s">
        <v>87</v>
      </c>
      <c r="J420" s="5">
        <v>6</v>
      </c>
      <c r="K420" s="3">
        <v>149.99</v>
      </c>
      <c r="L420" s="7">
        <v>0.1</v>
      </c>
      <c r="M420" s="3" t="s">
        <v>23</v>
      </c>
      <c r="N420" s="3">
        <v>899.94</v>
      </c>
      <c r="O420" s="3">
        <v>89.99</v>
      </c>
      <c r="P420" s="3">
        <v>809.95</v>
      </c>
    </row>
    <row r="421" spans="1:16" x14ac:dyDescent="0.3">
      <c r="A421" s="3" t="s">
        <v>933</v>
      </c>
      <c r="B421" s="15">
        <v>45759</v>
      </c>
      <c r="C421" s="15" t="str">
        <f t="shared" si="6"/>
        <v>April</v>
      </c>
      <c r="D421" s="3" t="s">
        <v>282</v>
      </c>
      <c r="E421" s="3" t="s">
        <v>18</v>
      </c>
      <c r="F421" s="3" t="s">
        <v>19</v>
      </c>
      <c r="G421" s="3" t="s">
        <v>20</v>
      </c>
      <c r="H421" s="3" t="s">
        <v>21</v>
      </c>
      <c r="I421" s="3" t="s">
        <v>22</v>
      </c>
      <c r="J421" s="5">
        <v>1</v>
      </c>
      <c r="K421" s="3">
        <v>89.99</v>
      </c>
      <c r="L421" s="7">
        <v>0.05</v>
      </c>
      <c r="M421" s="3" t="s">
        <v>37</v>
      </c>
      <c r="N421" s="3">
        <v>89.99</v>
      </c>
      <c r="O421" s="3">
        <v>4.5</v>
      </c>
      <c r="P421" s="3">
        <v>85.49</v>
      </c>
    </row>
    <row r="422" spans="1:16" x14ac:dyDescent="0.3">
      <c r="A422" s="3" t="s">
        <v>934</v>
      </c>
      <c r="B422" s="15">
        <v>45678</v>
      </c>
      <c r="C422" s="15" t="str">
        <f t="shared" si="6"/>
        <v>January</v>
      </c>
      <c r="D422" s="3" t="s">
        <v>936</v>
      </c>
      <c r="E422" s="3" t="s">
        <v>18</v>
      </c>
      <c r="F422" s="3" t="s">
        <v>56</v>
      </c>
      <c r="G422" s="3" t="s">
        <v>34</v>
      </c>
      <c r="H422" s="3" t="s">
        <v>62</v>
      </c>
      <c r="I422" s="3" t="s">
        <v>63</v>
      </c>
      <c r="J422" s="5">
        <v>3</v>
      </c>
      <c r="K422" s="3">
        <v>199.99</v>
      </c>
      <c r="L422" s="7">
        <v>0</v>
      </c>
      <c r="M422" s="3" t="s">
        <v>47</v>
      </c>
      <c r="N422" s="3">
        <v>599.97</v>
      </c>
      <c r="O422" s="3">
        <v>0</v>
      </c>
      <c r="P422" s="3">
        <v>599.97</v>
      </c>
    </row>
    <row r="423" spans="1:16" x14ac:dyDescent="0.3">
      <c r="A423" s="3" t="s">
        <v>937</v>
      </c>
      <c r="B423" s="15">
        <v>45703</v>
      </c>
      <c r="C423" s="15" t="str">
        <f t="shared" si="6"/>
        <v>February</v>
      </c>
      <c r="D423" s="3" t="s">
        <v>938</v>
      </c>
      <c r="E423" s="3" t="s">
        <v>51</v>
      </c>
      <c r="F423" s="3" t="s">
        <v>108</v>
      </c>
      <c r="G423" s="3" t="s">
        <v>20</v>
      </c>
      <c r="H423" s="3" t="s">
        <v>74</v>
      </c>
      <c r="I423" s="3" t="s">
        <v>75</v>
      </c>
      <c r="J423" s="5">
        <v>1</v>
      </c>
      <c r="K423" s="3">
        <v>299.99</v>
      </c>
      <c r="L423" s="7">
        <v>0.15</v>
      </c>
      <c r="M423" s="3" t="s">
        <v>23</v>
      </c>
      <c r="N423" s="3">
        <v>299.99</v>
      </c>
      <c r="O423" s="3">
        <v>45</v>
      </c>
      <c r="P423" s="3">
        <v>254.99</v>
      </c>
    </row>
    <row r="424" spans="1:16" x14ac:dyDescent="0.3">
      <c r="A424" s="3" t="s">
        <v>939</v>
      </c>
      <c r="B424" s="15">
        <v>45709</v>
      </c>
      <c r="C424" s="15" t="str">
        <f t="shared" si="6"/>
        <v>February</v>
      </c>
      <c r="D424" s="3" t="s">
        <v>221</v>
      </c>
      <c r="E424" s="3" t="s">
        <v>32</v>
      </c>
      <c r="F424" s="3" t="s">
        <v>45</v>
      </c>
      <c r="G424" s="3" t="s">
        <v>34</v>
      </c>
      <c r="H424" s="3" t="s">
        <v>35</v>
      </c>
      <c r="I424" s="3" t="s">
        <v>199</v>
      </c>
      <c r="J424" s="5">
        <v>6</v>
      </c>
      <c r="K424" s="3">
        <v>99.99</v>
      </c>
      <c r="L424" s="7">
        <v>0.15</v>
      </c>
      <c r="M424" s="3" t="s">
        <v>47</v>
      </c>
      <c r="N424" s="3">
        <v>599.94000000000005</v>
      </c>
      <c r="O424" s="3">
        <v>89.99</v>
      </c>
      <c r="P424" s="3">
        <v>509.95</v>
      </c>
    </row>
    <row r="425" spans="1:16" x14ac:dyDescent="0.3">
      <c r="A425" s="3" t="s">
        <v>940</v>
      </c>
      <c r="B425" s="15">
        <v>45747</v>
      </c>
      <c r="C425" s="15" t="str">
        <f t="shared" si="6"/>
        <v>March</v>
      </c>
      <c r="D425" s="3" t="s">
        <v>630</v>
      </c>
      <c r="E425" s="3" t="s">
        <v>18</v>
      </c>
      <c r="F425" s="3" t="s">
        <v>56</v>
      </c>
      <c r="G425" s="3" t="s">
        <v>20</v>
      </c>
      <c r="H425" s="3" t="s">
        <v>74</v>
      </c>
      <c r="I425" s="3" t="s">
        <v>75</v>
      </c>
      <c r="J425" s="5">
        <v>1</v>
      </c>
      <c r="K425" s="3">
        <v>299.99</v>
      </c>
      <c r="L425" s="7">
        <v>0</v>
      </c>
      <c r="M425" s="3" t="s">
        <v>37</v>
      </c>
      <c r="N425" s="3">
        <v>299.99</v>
      </c>
      <c r="O425" s="3">
        <v>0</v>
      </c>
      <c r="P425" s="3">
        <v>299.99</v>
      </c>
    </row>
    <row r="426" spans="1:16" x14ac:dyDescent="0.3">
      <c r="A426" s="3" t="s">
        <v>941</v>
      </c>
      <c r="B426" s="15">
        <v>45662</v>
      </c>
      <c r="C426" s="15" t="str">
        <f t="shared" si="6"/>
        <v>January</v>
      </c>
      <c r="D426" s="3" t="s">
        <v>397</v>
      </c>
      <c r="E426" s="3" t="s">
        <v>72</v>
      </c>
      <c r="F426" s="3" t="s">
        <v>73</v>
      </c>
      <c r="G426" s="3" t="s">
        <v>20</v>
      </c>
      <c r="H426" s="3" t="s">
        <v>57</v>
      </c>
      <c r="I426" s="3" t="s">
        <v>189</v>
      </c>
      <c r="J426" s="5">
        <v>1</v>
      </c>
      <c r="K426" s="3">
        <v>119.99</v>
      </c>
      <c r="L426" s="7">
        <v>0</v>
      </c>
      <c r="M426" s="3" t="s">
        <v>47</v>
      </c>
      <c r="N426" s="3">
        <v>119.99</v>
      </c>
      <c r="O426" s="3">
        <v>0</v>
      </c>
      <c r="P426" s="3">
        <v>119.99</v>
      </c>
    </row>
    <row r="427" spans="1:16" x14ac:dyDescent="0.3">
      <c r="A427" s="3" t="s">
        <v>943</v>
      </c>
      <c r="B427" s="15">
        <v>45848</v>
      </c>
      <c r="C427" s="15" t="str">
        <f t="shared" si="6"/>
        <v>July</v>
      </c>
      <c r="D427" s="3" t="s">
        <v>306</v>
      </c>
      <c r="E427" s="3" t="s">
        <v>72</v>
      </c>
      <c r="F427" s="3" t="s">
        <v>152</v>
      </c>
      <c r="G427" s="3" t="s">
        <v>34</v>
      </c>
      <c r="H427" s="3" t="s">
        <v>57</v>
      </c>
      <c r="I427" s="3" t="s">
        <v>189</v>
      </c>
      <c r="J427" s="5">
        <v>6</v>
      </c>
      <c r="K427" s="3">
        <v>119.99</v>
      </c>
      <c r="L427" s="7">
        <v>0</v>
      </c>
      <c r="M427" s="3" t="s">
        <v>47</v>
      </c>
      <c r="N427" s="3">
        <v>719.94</v>
      </c>
      <c r="O427" s="3">
        <v>0</v>
      </c>
      <c r="P427" s="3">
        <v>719.94</v>
      </c>
    </row>
    <row r="428" spans="1:16" x14ac:dyDescent="0.3">
      <c r="A428" s="3" t="s">
        <v>944</v>
      </c>
      <c r="B428" s="15">
        <v>46011</v>
      </c>
      <c r="C428" s="15" t="str">
        <f t="shared" si="6"/>
        <v>December</v>
      </c>
      <c r="D428" s="3" t="s">
        <v>137</v>
      </c>
      <c r="E428" s="3" t="s">
        <v>72</v>
      </c>
      <c r="F428" s="3" t="s">
        <v>152</v>
      </c>
      <c r="G428" s="3" t="s">
        <v>34</v>
      </c>
      <c r="H428" s="3" t="s">
        <v>21</v>
      </c>
      <c r="I428" s="3" t="s">
        <v>46</v>
      </c>
      <c r="J428" s="5">
        <v>3</v>
      </c>
      <c r="K428" s="3">
        <v>119.99</v>
      </c>
      <c r="L428" s="7">
        <v>0.05</v>
      </c>
      <c r="M428" s="3" t="s">
        <v>23</v>
      </c>
      <c r="N428" s="3">
        <v>359.97</v>
      </c>
      <c r="O428" s="3">
        <v>18</v>
      </c>
      <c r="P428" s="3">
        <v>341.97</v>
      </c>
    </row>
    <row r="429" spans="1:16" x14ac:dyDescent="0.3">
      <c r="A429" s="3" t="s">
        <v>946</v>
      </c>
      <c r="B429" s="15">
        <v>45871</v>
      </c>
      <c r="C429" s="15" t="str">
        <f t="shared" si="6"/>
        <v>August</v>
      </c>
      <c r="D429" s="3" t="s">
        <v>841</v>
      </c>
      <c r="E429" s="3" t="s">
        <v>51</v>
      </c>
      <c r="F429" s="3" t="s">
        <v>108</v>
      </c>
      <c r="G429" s="3" t="s">
        <v>34</v>
      </c>
      <c r="H429" s="3" t="s">
        <v>35</v>
      </c>
      <c r="I429" s="3" t="s">
        <v>199</v>
      </c>
      <c r="J429" s="5">
        <v>2</v>
      </c>
      <c r="K429" s="3">
        <v>99.99</v>
      </c>
      <c r="L429" s="7">
        <v>0</v>
      </c>
      <c r="M429" s="3" t="s">
        <v>23</v>
      </c>
      <c r="N429" s="3">
        <v>199.98</v>
      </c>
      <c r="O429" s="3">
        <v>0</v>
      </c>
      <c r="P429" s="3">
        <v>199.98</v>
      </c>
    </row>
    <row r="430" spans="1:16" x14ac:dyDescent="0.3">
      <c r="A430" s="3" t="s">
        <v>947</v>
      </c>
      <c r="B430" s="15">
        <v>45724</v>
      </c>
      <c r="C430" s="15" t="str">
        <f t="shared" si="6"/>
        <v>March</v>
      </c>
      <c r="D430" s="3" t="s">
        <v>325</v>
      </c>
      <c r="E430" s="3" t="s">
        <v>18</v>
      </c>
      <c r="F430" s="3" t="s">
        <v>19</v>
      </c>
      <c r="G430" s="3" t="s">
        <v>34</v>
      </c>
      <c r="H430" s="3" t="s">
        <v>35</v>
      </c>
      <c r="I430" s="3" t="s">
        <v>36</v>
      </c>
      <c r="J430" s="5">
        <v>6</v>
      </c>
      <c r="K430" s="3">
        <v>79.989999999999995</v>
      </c>
      <c r="L430" s="7">
        <v>0.15</v>
      </c>
      <c r="M430" s="3" t="s">
        <v>80</v>
      </c>
      <c r="N430" s="3">
        <v>479.94</v>
      </c>
      <c r="O430" s="3">
        <v>71.989999999999995</v>
      </c>
      <c r="P430" s="3">
        <v>407.95</v>
      </c>
    </row>
    <row r="431" spans="1:16" x14ac:dyDescent="0.3">
      <c r="A431" s="3" t="s">
        <v>948</v>
      </c>
      <c r="B431" s="15">
        <v>45818</v>
      </c>
      <c r="C431" s="15" t="str">
        <f t="shared" si="6"/>
        <v>June</v>
      </c>
      <c r="D431" s="3" t="s">
        <v>950</v>
      </c>
      <c r="E431" s="3" t="s">
        <v>27</v>
      </c>
      <c r="F431" s="3" t="s">
        <v>28</v>
      </c>
      <c r="G431" s="3" t="s">
        <v>20</v>
      </c>
      <c r="H431" s="3" t="s">
        <v>74</v>
      </c>
      <c r="I431" s="3" t="s">
        <v>75</v>
      </c>
      <c r="J431" s="5">
        <v>3</v>
      </c>
      <c r="K431" s="3">
        <v>299.99</v>
      </c>
      <c r="L431" s="7">
        <v>0.15</v>
      </c>
      <c r="M431" s="3" t="s">
        <v>37</v>
      </c>
      <c r="N431" s="3">
        <v>899.97</v>
      </c>
      <c r="O431" s="3">
        <v>135</v>
      </c>
      <c r="P431" s="3">
        <v>764.97</v>
      </c>
    </row>
    <row r="432" spans="1:16" x14ac:dyDescent="0.3">
      <c r="A432" s="3" t="s">
        <v>951</v>
      </c>
      <c r="B432" s="15">
        <v>45997</v>
      </c>
      <c r="C432" s="15" t="str">
        <f t="shared" si="6"/>
        <v>December</v>
      </c>
      <c r="D432" s="3" t="s">
        <v>17</v>
      </c>
      <c r="E432" s="3" t="s">
        <v>72</v>
      </c>
      <c r="F432" s="3" t="s">
        <v>73</v>
      </c>
      <c r="G432" s="3" t="s">
        <v>34</v>
      </c>
      <c r="H432" s="3" t="s">
        <v>62</v>
      </c>
      <c r="I432" s="3" t="s">
        <v>124</v>
      </c>
      <c r="J432" s="5">
        <v>4</v>
      </c>
      <c r="K432" s="3">
        <v>399.99</v>
      </c>
      <c r="L432" s="7">
        <v>0</v>
      </c>
      <c r="M432" s="3" t="s">
        <v>47</v>
      </c>
      <c r="N432" s="3">
        <v>1599.96</v>
      </c>
      <c r="O432" s="3">
        <v>0</v>
      </c>
      <c r="P432" s="3">
        <v>1599.96</v>
      </c>
    </row>
    <row r="433" spans="1:16" x14ac:dyDescent="0.3">
      <c r="A433" s="3" t="s">
        <v>952</v>
      </c>
      <c r="B433" s="15">
        <v>45898</v>
      </c>
      <c r="C433" s="15" t="str">
        <f t="shared" si="6"/>
        <v>August</v>
      </c>
      <c r="D433" s="3" t="s">
        <v>397</v>
      </c>
      <c r="E433" s="3" t="s">
        <v>27</v>
      </c>
      <c r="F433" s="3" t="s">
        <v>123</v>
      </c>
      <c r="G433" s="3" t="s">
        <v>34</v>
      </c>
      <c r="H433" s="3" t="s">
        <v>62</v>
      </c>
      <c r="I433" s="3" t="s">
        <v>124</v>
      </c>
      <c r="J433" s="5">
        <v>2</v>
      </c>
      <c r="K433" s="3">
        <v>399.99</v>
      </c>
      <c r="L433" s="7">
        <v>0.1</v>
      </c>
      <c r="M433" s="3" t="s">
        <v>47</v>
      </c>
      <c r="N433" s="3">
        <v>799.98</v>
      </c>
      <c r="O433" s="3">
        <v>80</v>
      </c>
      <c r="P433" s="3">
        <v>719.98</v>
      </c>
    </row>
    <row r="434" spans="1:16" x14ac:dyDescent="0.3">
      <c r="A434" s="3" t="s">
        <v>954</v>
      </c>
      <c r="B434" s="15">
        <v>45683</v>
      </c>
      <c r="C434" s="15" t="str">
        <f t="shared" si="6"/>
        <v>January</v>
      </c>
      <c r="D434" s="3" t="s">
        <v>89</v>
      </c>
      <c r="E434" s="3" t="s">
        <v>18</v>
      </c>
      <c r="F434" s="3" t="s">
        <v>19</v>
      </c>
      <c r="G434" s="3" t="s">
        <v>20</v>
      </c>
      <c r="H434" s="3" t="s">
        <v>21</v>
      </c>
      <c r="I434" s="3" t="s">
        <v>46</v>
      </c>
      <c r="J434" s="5">
        <v>3</v>
      </c>
      <c r="K434" s="3">
        <v>119.99</v>
      </c>
      <c r="L434" s="7">
        <v>0</v>
      </c>
      <c r="M434" s="3" t="s">
        <v>23</v>
      </c>
      <c r="N434" s="3">
        <v>359.97</v>
      </c>
      <c r="O434" s="3">
        <v>0</v>
      </c>
      <c r="P434" s="3">
        <v>359.97</v>
      </c>
    </row>
    <row r="435" spans="1:16" x14ac:dyDescent="0.3">
      <c r="A435" s="3" t="s">
        <v>956</v>
      </c>
      <c r="B435" s="15">
        <v>45887</v>
      </c>
      <c r="C435" s="15" t="str">
        <f t="shared" si="6"/>
        <v>August</v>
      </c>
      <c r="D435" s="3" t="s">
        <v>880</v>
      </c>
      <c r="E435" s="3" t="s">
        <v>27</v>
      </c>
      <c r="F435" s="3" t="s">
        <v>67</v>
      </c>
      <c r="G435" s="3" t="s">
        <v>34</v>
      </c>
      <c r="H435" s="3" t="s">
        <v>74</v>
      </c>
      <c r="I435" s="3" t="s">
        <v>112</v>
      </c>
      <c r="J435" s="5">
        <v>4</v>
      </c>
      <c r="K435" s="3">
        <v>129.99</v>
      </c>
      <c r="L435" s="7">
        <v>0.1</v>
      </c>
      <c r="M435" s="3" t="s">
        <v>23</v>
      </c>
      <c r="N435" s="3">
        <v>519.96</v>
      </c>
      <c r="O435" s="3">
        <v>52</v>
      </c>
      <c r="P435" s="3">
        <v>467.96</v>
      </c>
    </row>
    <row r="436" spans="1:16" x14ac:dyDescent="0.3">
      <c r="A436" s="3" t="s">
        <v>957</v>
      </c>
      <c r="B436" s="15">
        <v>45869</v>
      </c>
      <c r="C436" s="15" t="str">
        <f t="shared" si="6"/>
        <v>July</v>
      </c>
      <c r="D436" s="3" t="s">
        <v>163</v>
      </c>
      <c r="E436" s="3" t="s">
        <v>72</v>
      </c>
      <c r="F436" s="3" t="s">
        <v>73</v>
      </c>
      <c r="G436" s="3" t="s">
        <v>20</v>
      </c>
      <c r="H436" s="3" t="s">
        <v>57</v>
      </c>
      <c r="I436" s="3" t="s">
        <v>300</v>
      </c>
      <c r="J436" s="5">
        <v>1</v>
      </c>
      <c r="K436" s="3">
        <v>179.99</v>
      </c>
      <c r="L436" s="7">
        <v>0.05</v>
      </c>
      <c r="M436" s="3" t="s">
        <v>80</v>
      </c>
      <c r="N436" s="3">
        <v>179.99</v>
      </c>
      <c r="O436" s="3">
        <v>9</v>
      </c>
      <c r="P436" s="3">
        <v>170.99</v>
      </c>
    </row>
    <row r="437" spans="1:16" x14ac:dyDescent="0.3">
      <c r="A437" s="3" t="s">
        <v>959</v>
      </c>
      <c r="B437" s="15">
        <v>45891</v>
      </c>
      <c r="C437" s="15" t="str">
        <f t="shared" si="6"/>
        <v>August</v>
      </c>
      <c r="D437" s="3" t="s">
        <v>862</v>
      </c>
      <c r="E437" s="3" t="s">
        <v>32</v>
      </c>
      <c r="F437" s="3" t="s">
        <v>45</v>
      </c>
      <c r="G437" s="3" t="s">
        <v>34</v>
      </c>
      <c r="H437" s="3" t="s">
        <v>62</v>
      </c>
      <c r="I437" s="3" t="s">
        <v>249</v>
      </c>
      <c r="J437" s="5">
        <v>6</v>
      </c>
      <c r="K437" s="3">
        <v>49.99</v>
      </c>
      <c r="L437" s="7">
        <v>0.15</v>
      </c>
      <c r="M437" s="3" t="s">
        <v>37</v>
      </c>
      <c r="N437" s="3">
        <v>299.94</v>
      </c>
      <c r="O437" s="3">
        <v>44.99</v>
      </c>
      <c r="P437" s="3">
        <v>254.95</v>
      </c>
    </row>
    <row r="438" spans="1:16" x14ac:dyDescent="0.3">
      <c r="A438" s="3" t="s">
        <v>960</v>
      </c>
      <c r="B438" s="15">
        <v>45965</v>
      </c>
      <c r="C438" s="15" t="str">
        <f t="shared" si="6"/>
        <v>November</v>
      </c>
      <c r="D438" s="3" t="s">
        <v>111</v>
      </c>
      <c r="E438" s="3" t="s">
        <v>72</v>
      </c>
      <c r="F438" s="3" t="s">
        <v>152</v>
      </c>
      <c r="G438" s="3" t="s">
        <v>34</v>
      </c>
      <c r="H438" s="3" t="s">
        <v>21</v>
      </c>
      <c r="I438" s="3" t="s">
        <v>68</v>
      </c>
      <c r="J438" s="5">
        <v>5</v>
      </c>
      <c r="K438" s="3">
        <v>129.99</v>
      </c>
      <c r="L438" s="7">
        <v>0.1</v>
      </c>
      <c r="M438" s="3" t="s">
        <v>23</v>
      </c>
      <c r="N438" s="3">
        <v>649.95000000000005</v>
      </c>
      <c r="O438" s="3">
        <v>65</v>
      </c>
      <c r="P438" s="3">
        <v>584.95000000000005</v>
      </c>
    </row>
    <row r="439" spans="1:16" x14ac:dyDescent="0.3">
      <c r="A439" s="3" t="s">
        <v>961</v>
      </c>
      <c r="B439" s="15">
        <v>45982</v>
      </c>
      <c r="C439" s="15" t="str">
        <f t="shared" si="6"/>
        <v>November</v>
      </c>
      <c r="D439" s="3" t="s">
        <v>780</v>
      </c>
      <c r="E439" s="3" t="s">
        <v>51</v>
      </c>
      <c r="F439" s="3" t="s">
        <v>108</v>
      </c>
      <c r="G439" s="3" t="s">
        <v>34</v>
      </c>
      <c r="H439" s="3" t="s">
        <v>21</v>
      </c>
      <c r="I439" s="3" t="s">
        <v>22</v>
      </c>
      <c r="J439" s="5">
        <v>3</v>
      </c>
      <c r="K439" s="3">
        <v>89.99</v>
      </c>
      <c r="L439" s="7">
        <v>0</v>
      </c>
      <c r="M439" s="3" t="s">
        <v>37</v>
      </c>
      <c r="N439" s="3">
        <v>269.97000000000003</v>
      </c>
      <c r="O439" s="3">
        <v>0</v>
      </c>
      <c r="P439" s="3">
        <v>269.97000000000003</v>
      </c>
    </row>
    <row r="440" spans="1:16" x14ac:dyDescent="0.3">
      <c r="A440" s="3" t="s">
        <v>962</v>
      </c>
      <c r="B440" s="15">
        <v>45867</v>
      </c>
      <c r="C440" s="15" t="str">
        <f t="shared" si="6"/>
        <v>July</v>
      </c>
      <c r="D440" s="3" t="s">
        <v>171</v>
      </c>
      <c r="E440" s="3" t="s">
        <v>51</v>
      </c>
      <c r="F440" s="3" t="s">
        <v>52</v>
      </c>
      <c r="G440" s="3" t="s">
        <v>34</v>
      </c>
      <c r="H440" s="3" t="s">
        <v>21</v>
      </c>
      <c r="I440" s="3" t="s">
        <v>22</v>
      </c>
      <c r="J440" s="5">
        <v>2</v>
      </c>
      <c r="K440" s="3">
        <v>89.99</v>
      </c>
      <c r="L440" s="7">
        <v>0.15</v>
      </c>
      <c r="M440" s="3" t="s">
        <v>47</v>
      </c>
      <c r="N440" s="3">
        <v>179.98</v>
      </c>
      <c r="O440" s="3">
        <v>27</v>
      </c>
      <c r="P440" s="3">
        <v>152.97999999999999</v>
      </c>
    </row>
    <row r="441" spans="1:16" x14ac:dyDescent="0.3">
      <c r="A441" s="3" t="s">
        <v>963</v>
      </c>
      <c r="B441" s="15">
        <v>45831</v>
      </c>
      <c r="C441" s="15" t="str">
        <f t="shared" si="6"/>
        <v>June</v>
      </c>
      <c r="D441" s="3" t="s">
        <v>171</v>
      </c>
      <c r="E441" s="3" t="s">
        <v>72</v>
      </c>
      <c r="F441" s="3" t="s">
        <v>73</v>
      </c>
      <c r="G441" s="3" t="s">
        <v>34</v>
      </c>
      <c r="H441" s="3" t="s">
        <v>35</v>
      </c>
      <c r="I441" s="3" t="s">
        <v>199</v>
      </c>
      <c r="J441" s="5">
        <v>4</v>
      </c>
      <c r="K441" s="3">
        <v>99.99</v>
      </c>
      <c r="L441" s="7">
        <v>0</v>
      </c>
      <c r="M441" s="3" t="s">
        <v>80</v>
      </c>
      <c r="N441" s="3">
        <v>399.96</v>
      </c>
      <c r="O441" s="3">
        <v>0</v>
      </c>
      <c r="P441" s="3">
        <v>399.96</v>
      </c>
    </row>
    <row r="442" spans="1:16" x14ac:dyDescent="0.3">
      <c r="A442" s="3" t="s">
        <v>964</v>
      </c>
      <c r="B442" s="15">
        <v>45916</v>
      </c>
      <c r="C442" s="15" t="str">
        <f t="shared" si="6"/>
        <v>September</v>
      </c>
      <c r="D442" s="3" t="s">
        <v>762</v>
      </c>
      <c r="E442" s="3" t="s">
        <v>72</v>
      </c>
      <c r="F442" s="3" t="s">
        <v>152</v>
      </c>
      <c r="G442" s="3" t="s">
        <v>34</v>
      </c>
      <c r="H442" s="3" t="s">
        <v>62</v>
      </c>
      <c r="I442" s="3" t="s">
        <v>124</v>
      </c>
      <c r="J442" s="5">
        <v>6</v>
      </c>
      <c r="K442" s="3">
        <v>399.99</v>
      </c>
      <c r="L442" s="7">
        <v>0.1</v>
      </c>
      <c r="M442" s="3" t="s">
        <v>80</v>
      </c>
      <c r="N442" s="3">
        <v>2399.94</v>
      </c>
      <c r="O442" s="3">
        <v>239.99</v>
      </c>
      <c r="P442" s="3">
        <v>2159.9499999999998</v>
      </c>
    </row>
    <row r="443" spans="1:16" x14ac:dyDescent="0.3">
      <c r="A443" s="3" t="s">
        <v>965</v>
      </c>
      <c r="B443" s="15">
        <v>45918</v>
      </c>
      <c r="C443" s="15" t="str">
        <f t="shared" si="6"/>
        <v>September</v>
      </c>
      <c r="D443" s="3" t="s">
        <v>967</v>
      </c>
      <c r="E443" s="3" t="s">
        <v>32</v>
      </c>
      <c r="F443" s="3" t="s">
        <v>33</v>
      </c>
      <c r="G443" s="3" t="s">
        <v>20</v>
      </c>
      <c r="H443" s="3" t="s">
        <v>62</v>
      </c>
      <c r="I443" s="3" t="s">
        <v>124</v>
      </c>
      <c r="J443" s="5">
        <v>5</v>
      </c>
      <c r="K443" s="3">
        <v>399.99</v>
      </c>
      <c r="L443" s="7">
        <v>0.05</v>
      </c>
      <c r="M443" s="3" t="s">
        <v>47</v>
      </c>
      <c r="N443" s="3">
        <v>1999.95</v>
      </c>
      <c r="O443" s="3">
        <v>100</v>
      </c>
      <c r="P443" s="3">
        <v>1899.95</v>
      </c>
    </row>
    <row r="444" spans="1:16" x14ac:dyDescent="0.3">
      <c r="A444" s="3" t="s">
        <v>968</v>
      </c>
      <c r="B444" s="15">
        <v>45872</v>
      </c>
      <c r="C444" s="15" t="str">
        <f t="shared" si="6"/>
        <v>August</v>
      </c>
      <c r="D444" s="3" t="s">
        <v>282</v>
      </c>
      <c r="E444" s="3" t="s">
        <v>72</v>
      </c>
      <c r="F444" s="3" t="s">
        <v>152</v>
      </c>
      <c r="G444" s="3" t="s">
        <v>20</v>
      </c>
      <c r="H444" s="3" t="s">
        <v>35</v>
      </c>
      <c r="I444" s="3" t="s">
        <v>199</v>
      </c>
      <c r="J444" s="5">
        <v>5</v>
      </c>
      <c r="K444" s="3">
        <v>99.99</v>
      </c>
      <c r="L444" s="7">
        <v>0.05</v>
      </c>
      <c r="M444" s="3" t="s">
        <v>37</v>
      </c>
      <c r="N444" s="3">
        <v>499.95</v>
      </c>
      <c r="O444" s="3">
        <v>25</v>
      </c>
      <c r="P444" s="3">
        <v>474.95</v>
      </c>
    </row>
    <row r="445" spans="1:16" x14ac:dyDescent="0.3">
      <c r="A445" s="3" t="s">
        <v>969</v>
      </c>
      <c r="B445" s="15">
        <v>45869</v>
      </c>
      <c r="C445" s="15" t="str">
        <f t="shared" si="6"/>
        <v>July</v>
      </c>
      <c r="D445" s="3" t="s">
        <v>889</v>
      </c>
      <c r="E445" s="3" t="s">
        <v>18</v>
      </c>
      <c r="F445" s="3" t="s">
        <v>56</v>
      </c>
      <c r="G445" s="3" t="s">
        <v>34</v>
      </c>
      <c r="H445" s="3" t="s">
        <v>74</v>
      </c>
      <c r="I445" s="3" t="s">
        <v>75</v>
      </c>
      <c r="J445" s="5">
        <v>2</v>
      </c>
      <c r="K445" s="3">
        <v>299.99</v>
      </c>
      <c r="L445" s="7">
        <v>0</v>
      </c>
      <c r="M445" s="3" t="s">
        <v>37</v>
      </c>
      <c r="N445" s="3">
        <v>599.98</v>
      </c>
      <c r="O445" s="3">
        <v>0</v>
      </c>
      <c r="P445" s="3">
        <v>599.98</v>
      </c>
    </row>
    <row r="446" spans="1:16" x14ac:dyDescent="0.3">
      <c r="A446" s="3" t="s">
        <v>970</v>
      </c>
      <c r="B446" s="15">
        <v>45806</v>
      </c>
      <c r="C446" s="15" t="str">
        <f t="shared" si="6"/>
        <v>May</v>
      </c>
      <c r="D446" s="3" t="s">
        <v>685</v>
      </c>
      <c r="E446" s="3" t="s">
        <v>51</v>
      </c>
      <c r="F446" s="3" t="s">
        <v>108</v>
      </c>
      <c r="G446" s="3" t="s">
        <v>34</v>
      </c>
      <c r="H446" s="3" t="s">
        <v>62</v>
      </c>
      <c r="I446" s="3" t="s">
        <v>63</v>
      </c>
      <c r="J446" s="5">
        <v>5</v>
      </c>
      <c r="K446" s="3">
        <v>199.99</v>
      </c>
      <c r="L446" s="7">
        <v>0.15</v>
      </c>
      <c r="M446" s="3" t="s">
        <v>47</v>
      </c>
      <c r="N446" s="3">
        <v>999.95</v>
      </c>
      <c r="O446" s="3">
        <v>149.99</v>
      </c>
      <c r="P446" s="3">
        <v>849.96</v>
      </c>
    </row>
    <row r="447" spans="1:16" x14ac:dyDescent="0.3">
      <c r="A447" s="3" t="s">
        <v>972</v>
      </c>
      <c r="B447" s="15">
        <v>45956</v>
      </c>
      <c r="C447" s="15" t="str">
        <f t="shared" si="6"/>
        <v>October</v>
      </c>
      <c r="D447" s="3" t="s">
        <v>328</v>
      </c>
      <c r="E447" s="3" t="s">
        <v>27</v>
      </c>
      <c r="F447" s="3" t="s">
        <v>67</v>
      </c>
      <c r="G447" s="3" t="s">
        <v>34</v>
      </c>
      <c r="H447" s="3" t="s">
        <v>35</v>
      </c>
      <c r="I447" s="3" t="s">
        <v>134</v>
      </c>
      <c r="J447" s="5">
        <v>5</v>
      </c>
      <c r="K447" s="3">
        <v>139.99</v>
      </c>
      <c r="L447" s="7">
        <v>0.05</v>
      </c>
      <c r="M447" s="3" t="s">
        <v>37</v>
      </c>
      <c r="N447" s="3">
        <v>699.95</v>
      </c>
      <c r="O447" s="3">
        <v>35</v>
      </c>
      <c r="P447" s="3">
        <v>664.95</v>
      </c>
    </row>
    <row r="448" spans="1:16" x14ac:dyDescent="0.3">
      <c r="A448" s="3" t="s">
        <v>973</v>
      </c>
      <c r="B448" s="15">
        <v>45732</v>
      </c>
      <c r="C448" s="15" t="str">
        <f t="shared" si="6"/>
        <v>March</v>
      </c>
      <c r="D448" s="3" t="s">
        <v>745</v>
      </c>
      <c r="E448" s="3" t="s">
        <v>32</v>
      </c>
      <c r="F448" s="3" t="s">
        <v>45</v>
      </c>
      <c r="G448" s="3" t="s">
        <v>20</v>
      </c>
      <c r="H448" s="3" t="s">
        <v>74</v>
      </c>
      <c r="I448" s="3" t="s">
        <v>112</v>
      </c>
      <c r="J448" s="5">
        <v>1</v>
      </c>
      <c r="K448" s="3">
        <v>129.99</v>
      </c>
      <c r="L448" s="7">
        <v>0.05</v>
      </c>
      <c r="M448" s="3" t="s">
        <v>47</v>
      </c>
      <c r="N448" s="3">
        <v>129.99</v>
      </c>
      <c r="O448" s="3">
        <v>6.5</v>
      </c>
      <c r="P448" s="3">
        <v>123.49</v>
      </c>
    </row>
    <row r="449" spans="1:16" x14ac:dyDescent="0.3">
      <c r="A449" s="3" t="s">
        <v>974</v>
      </c>
      <c r="B449" s="15">
        <v>46011</v>
      </c>
      <c r="C449" s="15" t="str">
        <f t="shared" si="6"/>
        <v>December</v>
      </c>
      <c r="D449" s="3" t="s">
        <v>697</v>
      </c>
      <c r="E449" s="3" t="s">
        <v>18</v>
      </c>
      <c r="F449" s="3" t="s">
        <v>56</v>
      </c>
      <c r="G449" s="3" t="s">
        <v>34</v>
      </c>
      <c r="H449" s="3" t="s">
        <v>57</v>
      </c>
      <c r="I449" s="3" t="s">
        <v>58</v>
      </c>
      <c r="J449" s="5">
        <v>2</v>
      </c>
      <c r="K449" s="3">
        <v>89.99</v>
      </c>
      <c r="L449" s="7">
        <v>0</v>
      </c>
      <c r="M449" s="3" t="s">
        <v>47</v>
      </c>
      <c r="N449" s="3">
        <v>179.98</v>
      </c>
      <c r="O449" s="3">
        <v>0</v>
      </c>
      <c r="P449" s="3">
        <v>179.98</v>
      </c>
    </row>
    <row r="450" spans="1:16" x14ac:dyDescent="0.3">
      <c r="A450" s="3" t="s">
        <v>975</v>
      </c>
      <c r="B450" s="15">
        <v>46003</v>
      </c>
      <c r="C450" s="15" t="str">
        <f t="shared" ref="C450:C501" si="7">TEXT(B450,"mmmm")</f>
        <v>December</v>
      </c>
      <c r="D450" s="3" t="s">
        <v>160</v>
      </c>
      <c r="E450" s="3" t="s">
        <v>18</v>
      </c>
      <c r="F450" s="3" t="s">
        <v>56</v>
      </c>
      <c r="G450" s="3" t="s">
        <v>20</v>
      </c>
      <c r="H450" s="3" t="s">
        <v>62</v>
      </c>
      <c r="I450" s="3" t="s">
        <v>124</v>
      </c>
      <c r="J450" s="5">
        <v>1</v>
      </c>
      <c r="K450" s="3">
        <v>399.99</v>
      </c>
      <c r="L450" s="7">
        <v>0.1</v>
      </c>
      <c r="M450" s="3" t="s">
        <v>23</v>
      </c>
      <c r="N450" s="3">
        <v>399.99</v>
      </c>
      <c r="O450" s="3">
        <v>40</v>
      </c>
      <c r="P450" s="3">
        <v>359.99</v>
      </c>
    </row>
    <row r="451" spans="1:16" x14ac:dyDescent="0.3">
      <c r="A451" s="3" t="s">
        <v>977</v>
      </c>
      <c r="B451" s="15">
        <v>46008</v>
      </c>
      <c r="C451" s="15" t="str">
        <f t="shared" si="7"/>
        <v>December</v>
      </c>
      <c r="D451" s="3" t="s">
        <v>531</v>
      </c>
      <c r="E451" s="3" t="s">
        <v>27</v>
      </c>
      <c r="F451" s="3" t="s">
        <v>67</v>
      </c>
      <c r="G451" s="3" t="s">
        <v>20</v>
      </c>
      <c r="H451" s="3" t="s">
        <v>35</v>
      </c>
      <c r="I451" s="3" t="s">
        <v>134</v>
      </c>
      <c r="J451" s="5">
        <v>4</v>
      </c>
      <c r="K451" s="3">
        <v>139.99</v>
      </c>
      <c r="L451" s="7">
        <v>0.05</v>
      </c>
      <c r="M451" s="3" t="s">
        <v>80</v>
      </c>
      <c r="N451" s="3">
        <v>559.96</v>
      </c>
      <c r="O451" s="3">
        <v>28</v>
      </c>
      <c r="P451" s="3">
        <v>531.96</v>
      </c>
    </row>
    <row r="452" spans="1:16" x14ac:dyDescent="0.3">
      <c r="A452" s="3" t="s">
        <v>978</v>
      </c>
      <c r="B452" s="15">
        <v>46018</v>
      </c>
      <c r="C452" s="15" t="str">
        <f t="shared" si="7"/>
        <v>December</v>
      </c>
      <c r="D452" s="3" t="s">
        <v>271</v>
      </c>
      <c r="E452" s="3" t="s">
        <v>32</v>
      </c>
      <c r="F452" s="3" t="s">
        <v>33</v>
      </c>
      <c r="G452" s="3" t="s">
        <v>34</v>
      </c>
      <c r="H452" s="3" t="s">
        <v>57</v>
      </c>
      <c r="I452" s="3" t="s">
        <v>58</v>
      </c>
      <c r="J452" s="5">
        <v>2</v>
      </c>
      <c r="K452" s="3">
        <v>89.99</v>
      </c>
      <c r="L452" s="7">
        <v>0.15</v>
      </c>
      <c r="M452" s="3" t="s">
        <v>47</v>
      </c>
      <c r="N452" s="3">
        <v>179.98</v>
      </c>
      <c r="O452" s="3">
        <v>27</v>
      </c>
      <c r="P452" s="3">
        <v>152.97999999999999</v>
      </c>
    </row>
    <row r="453" spans="1:16" x14ac:dyDescent="0.3">
      <c r="A453" s="3" t="s">
        <v>979</v>
      </c>
      <c r="B453" s="15">
        <v>45753</v>
      </c>
      <c r="C453" s="15" t="str">
        <f t="shared" si="7"/>
        <v>April</v>
      </c>
      <c r="D453" s="3" t="s">
        <v>780</v>
      </c>
      <c r="E453" s="3" t="s">
        <v>72</v>
      </c>
      <c r="F453" s="3" t="s">
        <v>73</v>
      </c>
      <c r="G453" s="3" t="s">
        <v>20</v>
      </c>
      <c r="H453" s="3" t="s">
        <v>35</v>
      </c>
      <c r="I453" s="3" t="s">
        <v>134</v>
      </c>
      <c r="J453" s="5">
        <v>6</v>
      </c>
      <c r="K453" s="3">
        <v>139.99</v>
      </c>
      <c r="L453" s="7">
        <v>0</v>
      </c>
      <c r="M453" s="3" t="s">
        <v>80</v>
      </c>
      <c r="N453" s="3">
        <v>839.94</v>
      </c>
      <c r="O453" s="3">
        <v>0</v>
      </c>
      <c r="P453" s="3">
        <v>839.94</v>
      </c>
    </row>
    <row r="454" spans="1:16" x14ac:dyDescent="0.3">
      <c r="A454" s="3" t="s">
        <v>980</v>
      </c>
      <c r="B454" s="15">
        <v>45724</v>
      </c>
      <c r="C454" s="15" t="str">
        <f t="shared" si="7"/>
        <v>March</v>
      </c>
      <c r="D454" s="3" t="s">
        <v>981</v>
      </c>
      <c r="E454" s="3" t="s">
        <v>72</v>
      </c>
      <c r="F454" s="3" t="s">
        <v>152</v>
      </c>
      <c r="G454" s="3" t="s">
        <v>34</v>
      </c>
      <c r="H454" s="3" t="s">
        <v>74</v>
      </c>
      <c r="I454" s="3" t="s">
        <v>112</v>
      </c>
      <c r="J454" s="5">
        <v>5</v>
      </c>
      <c r="K454" s="3">
        <v>129.99</v>
      </c>
      <c r="L454" s="7">
        <v>0</v>
      </c>
      <c r="M454" s="3" t="s">
        <v>80</v>
      </c>
      <c r="N454" s="3">
        <v>649.95000000000005</v>
      </c>
      <c r="O454" s="3">
        <v>0</v>
      </c>
      <c r="P454" s="3">
        <v>649.95000000000005</v>
      </c>
    </row>
    <row r="455" spans="1:16" x14ac:dyDescent="0.3">
      <c r="A455" s="3" t="s">
        <v>982</v>
      </c>
      <c r="B455" s="15">
        <v>45963</v>
      </c>
      <c r="C455" s="15" t="str">
        <f t="shared" si="7"/>
        <v>November</v>
      </c>
      <c r="D455" s="3" t="s">
        <v>745</v>
      </c>
      <c r="E455" s="3" t="s">
        <v>51</v>
      </c>
      <c r="F455" s="3" t="s">
        <v>108</v>
      </c>
      <c r="G455" s="3" t="s">
        <v>34</v>
      </c>
      <c r="H455" s="3" t="s">
        <v>57</v>
      </c>
      <c r="I455" s="3" t="s">
        <v>130</v>
      </c>
      <c r="J455" s="5">
        <v>2</v>
      </c>
      <c r="K455" s="3">
        <v>109.99</v>
      </c>
      <c r="L455" s="7">
        <v>0</v>
      </c>
      <c r="M455" s="3" t="s">
        <v>23</v>
      </c>
      <c r="N455" s="3">
        <v>219.98</v>
      </c>
      <c r="O455" s="3">
        <v>0</v>
      </c>
      <c r="P455" s="3">
        <v>219.98</v>
      </c>
    </row>
    <row r="456" spans="1:16" x14ac:dyDescent="0.3">
      <c r="A456" s="3" t="s">
        <v>983</v>
      </c>
      <c r="B456" s="15">
        <v>45770</v>
      </c>
      <c r="C456" s="15" t="str">
        <f t="shared" si="7"/>
        <v>April</v>
      </c>
      <c r="D456" s="3" t="s">
        <v>623</v>
      </c>
      <c r="E456" s="3" t="s">
        <v>27</v>
      </c>
      <c r="F456" s="3" t="s">
        <v>123</v>
      </c>
      <c r="G456" s="3" t="s">
        <v>20</v>
      </c>
      <c r="H456" s="3" t="s">
        <v>62</v>
      </c>
      <c r="I456" s="3" t="s">
        <v>249</v>
      </c>
      <c r="J456" s="5">
        <v>3</v>
      </c>
      <c r="K456" s="3">
        <v>49.99</v>
      </c>
      <c r="L456" s="7">
        <v>0.1</v>
      </c>
      <c r="M456" s="3" t="s">
        <v>80</v>
      </c>
      <c r="N456" s="3">
        <v>149.97</v>
      </c>
      <c r="O456" s="3">
        <v>15</v>
      </c>
      <c r="P456" s="3">
        <v>134.97</v>
      </c>
    </row>
    <row r="457" spans="1:16" x14ac:dyDescent="0.3">
      <c r="A457" s="3" t="s">
        <v>984</v>
      </c>
      <c r="B457" s="15">
        <v>45771</v>
      </c>
      <c r="C457" s="15" t="str">
        <f t="shared" si="7"/>
        <v>April</v>
      </c>
      <c r="D457" s="3" t="s">
        <v>420</v>
      </c>
      <c r="E457" s="3" t="s">
        <v>72</v>
      </c>
      <c r="F457" s="3" t="s">
        <v>152</v>
      </c>
      <c r="G457" s="3" t="s">
        <v>20</v>
      </c>
      <c r="H457" s="3" t="s">
        <v>62</v>
      </c>
      <c r="I457" s="3" t="s">
        <v>63</v>
      </c>
      <c r="J457" s="5">
        <v>1</v>
      </c>
      <c r="K457" s="3">
        <v>199.99</v>
      </c>
      <c r="L457" s="7">
        <v>0</v>
      </c>
      <c r="M457" s="3" t="s">
        <v>37</v>
      </c>
      <c r="N457" s="3">
        <v>199.99</v>
      </c>
      <c r="O457" s="3">
        <v>0</v>
      </c>
      <c r="P457" s="3">
        <v>199.99</v>
      </c>
    </row>
    <row r="458" spans="1:16" x14ac:dyDescent="0.3">
      <c r="A458" s="3" t="s">
        <v>985</v>
      </c>
      <c r="B458" s="15">
        <v>45901</v>
      </c>
      <c r="C458" s="15" t="str">
        <f t="shared" si="7"/>
        <v>September</v>
      </c>
      <c r="D458" s="3" t="s">
        <v>986</v>
      </c>
      <c r="E458" s="3" t="s">
        <v>18</v>
      </c>
      <c r="F458" s="3" t="s">
        <v>19</v>
      </c>
      <c r="G458" s="3" t="s">
        <v>20</v>
      </c>
      <c r="H458" s="3" t="s">
        <v>57</v>
      </c>
      <c r="I458" s="3" t="s">
        <v>189</v>
      </c>
      <c r="J458" s="5">
        <v>5</v>
      </c>
      <c r="K458" s="3">
        <v>119.99</v>
      </c>
      <c r="L458" s="7">
        <v>0.1</v>
      </c>
      <c r="M458" s="3" t="s">
        <v>80</v>
      </c>
      <c r="N458" s="3">
        <v>599.95000000000005</v>
      </c>
      <c r="O458" s="3">
        <v>60</v>
      </c>
      <c r="P458" s="3">
        <v>539.95000000000005</v>
      </c>
    </row>
    <row r="459" spans="1:16" x14ac:dyDescent="0.3">
      <c r="A459" s="3" t="s">
        <v>987</v>
      </c>
      <c r="B459" s="15">
        <v>45822</v>
      </c>
      <c r="C459" s="15" t="str">
        <f t="shared" si="7"/>
        <v>June</v>
      </c>
      <c r="D459" s="3" t="s">
        <v>50</v>
      </c>
      <c r="E459" s="3" t="s">
        <v>51</v>
      </c>
      <c r="F459" s="3" t="s">
        <v>108</v>
      </c>
      <c r="G459" s="3" t="s">
        <v>20</v>
      </c>
      <c r="H459" s="3" t="s">
        <v>57</v>
      </c>
      <c r="I459" s="3" t="s">
        <v>130</v>
      </c>
      <c r="J459" s="5">
        <v>1</v>
      </c>
      <c r="K459" s="3">
        <v>109.99</v>
      </c>
      <c r="L459" s="7">
        <v>0.15</v>
      </c>
      <c r="M459" s="3" t="s">
        <v>23</v>
      </c>
      <c r="N459" s="3">
        <v>109.99</v>
      </c>
      <c r="O459" s="3">
        <v>16.5</v>
      </c>
      <c r="P459" s="3">
        <v>93.49</v>
      </c>
    </row>
    <row r="460" spans="1:16" x14ac:dyDescent="0.3">
      <c r="A460" s="3" t="s">
        <v>988</v>
      </c>
      <c r="B460" s="15">
        <v>45918</v>
      </c>
      <c r="C460" s="15" t="str">
        <f t="shared" si="7"/>
        <v>September</v>
      </c>
      <c r="D460" s="3" t="s">
        <v>989</v>
      </c>
      <c r="E460" s="3" t="s">
        <v>27</v>
      </c>
      <c r="F460" s="3" t="s">
        <v>123</v>
      </c>
      <c r="G460" s="3" t="s">
        <v>34</v>
      </c>
      <c r="H460" s="3" t="s">
        <v>57</v>
      </c>
      <c r="I460" s="3" t="s">
        <v>189</v>
      </c>
      <c r="J460" s="5">
        <v>3</v>
      </c>
      <c r="K460" s="3">
        <v>119.99</v>
      </c>
      <c r="L460" s="7">
        <v>0.1</v>
      </c>
      <c r="M460" s="3" t="s">
        <v>80</v>
      </c>
      <c r="N460" s="3">
        <v>359.97</v>
      </c>
      <c r="O460" s="3">
        <v>36</v>
      </c>
      <c r="P460" s="3">
        <v>323.97000000000003</v>
      </c>
    </row>
    <row r="461" spans="1:16" x14ac:dyDescent="0.3">
      <c r="A461" s="3" t="s">
        <v>990</v>
      </c>
      <c r="B461" s="15">
        <v>45933</v>
      </c>
      <c r="C461" s="15" t="str">
        <f t="shared" si="7"/>
        <v>October</v>
      </c>
      <c r="D461" s="3" t="s">
        <v>991</v>
      </c>
      <c r="E461" s="3" t="s">
        <v>18</v>
      </c>
      <c r="F461" s="3" t="s">
        <v>19</v>
      </c>
      <c r="G461" s="3" t="s">
        <v>20</v>
      </c>
      <c r="H461" s="3" t="s">
        <v>57</v>
      </c>
      <c r="I461" s="3" t="s">
        <v>58</v>
      </c>
      <c r="J461" s="5">
        <v>1</v>
      </c>
      <c r="K461" s="3">
        <v>89.99</v>
      </c>
      <c r="L461" s="7">
        <v>0</v>
      </c>
      <c r="M461" s="3" t="s">
        <v>80</v>
      </c>
      <c r="N461" s="3">
        <v>89.99</v>
      </c>
      <c r="O461" s="3">
        <v>0</v>
      </c>
      <c r="P461" s="3">
        <v>89.99</v>
      </c>
    </row>
    <row r="462" spans="1:16" x14ac:dyDescent="0.3">
      <c r="A462" s="3" t="s">
        <v>992</v>
      </c>
      <c r="B462" s="15">
        <v>46017</v>
      </c>
      <c r="C462" s="15" t="str">
        <f t="shared" si="7"/>
        <v>December</v>
      </c>
      <c r="D462" s="3" t="s">
        <v>360</v>
      </c>
      <c r="E462" s="3" t="s">
        <v>72</v>
      </c>
      <c r="F462" s="3" t="s">
        <v>73</v>
      </c>
      <c r="G462" s="3" t="s">
        <v>34</v>
      </c>
      <c r="H462" s="3" t="s">
        <v>35</v>
      </c>
      <c r="I462" s="3" t="s">
        <v>41</v>
      </c>
      <c r="J462" s="5">
        <v>2</v>
      </c>
      <c r="K462" s="3">
        <v>104.99</v>
      </c>
      <c r="L462" s="7">
        <v>0.1</v>
      </c>
      <c r="M462" s="3" t="s">
        <v>80</v>
      </c>
      <c r="N462" s="3">
        <v>209.98</v>
      </c>
      <c r="O462" s="3">
        <v>21</v>
      </c>
      <c r="P462" s="3">
        <v>188.98</v>
      </c>
    </row>
    <row r="463" spans="1:16" x14ac:dyDescent="0.3">
      <c r="A463" s="3" t="s">
        <v>993</v>
      </c>
      <c r="B463" s="15">
        <v>45695</v>
      </c>
      <c r="C463" s="15" t="str">
        <f t="shared" si="7"/>
        <v>February</v>
      </c>
      <c r="D463" s="3" t="s">
        <v>745</v>
      </c>
      <c r="E463" s="3" t="s">
        <v>72</v>
      </c>
      <c r="F463" s="3" t="s">
        <v>152</v>
      </c>
      <c r="G463" s="3" t="s">
        <v>20</v>
      </c>
      <c r="H463" s="3" t="s">
        <v>35</v>
      </c>
      <c r="I463" s="3" t="s">
        <v>199</v>
      </c>
      <c r="J463" s="5">
        <v>1</v>
      </c>
      <c r="K463" s="3">
        <v>99.99</v>
      </c>
      <c r="L463" s="7">
        <v>0</v>
      </c>
      <c r="M463" s="3" t="s">
        <v>37</v>
      </c>
      <c r="N463" s="3">
        <v>99.99</v>
      </c>
      <c r="O463" s="3">
        <v>0</v>
      </c>
      <c r="P463" s="3">
        <v>99.99</v>
      </c>
    </row>
    <row r="464" spans="1:16" x14ac:dyDescent="0.3">
      <c r="A464" s="3" t="s">
        <v>994</v>
      </c>
      <c r="B464" s="15">
        <v>45856</v>
      </c>
      <c r="C464" s="15" t="str">
        <f t="shared" si="7"/>
        <v>July</v>
      </c>
      <c r="D464" s="3" t="s">
        <v>765</v>
      </c>
      <c r="E464" s="3" t="s">
        <v>32</v>
      </c>
      <c r="F464" s="3" t="s">
        <v>45</v>
      </c>
      <c r="G464" s="3" t="s">
        <v>34</v>
      </c>
      <c r="H464" s="3" t="s">
        <v>62</v>
      </c>
      <c r="I464" s="3" t="s">
        <v>124</v>
      </c>
      <c r="J464" s="5">
        <v>3</v>
      </c>
      <c r="K464" s="3">
        <v>399.99</v>
      </c>
      <c r="L464" s="7">
        <v>0.05</v>
      </c>
      <c r="M464" s="3" t="s">
        <v>23</v>
      </c>
      <c r="N464" s="3">
        <v>1199.97</v>
      </c>
      <c r="O464" s="3">
        <v>60</v>
      </c>
      <c r="P464" s="3">
        <v>1139.97</v>
      </c>
    </row>
    <row r="465" spans="1:16" x14ac:dyDescent="0.3">
      <c r="A465" s="3" t="s">
        <v>995</v>
      </c>
      <c r="B465" s="15">
        <v>45986</v>
      </c>
      <c r="C465" s="15" t="str">
        <f t="shared" si="7"/>
        <v>November</v>
      </c>
      <c r="D465" s="3" t="s">
        <v>265</v>
      </c>
      <c r="E465" s="3" t="s">
        <v>72</v>
      </c>
      <c r="F465" s="3" t="s">
        <v>73</v>
      </c>
      <c r="G465" s="3" t="s">
        <v>20</v>
      </c>
      <c r="H465" s="3" t="s">
        <v>57</v>
      </c>
      <c r="I465" s="3" t="s">
        <v>300</v>
      </c>
      <c r="J465" s="5">
        <v>5</v>
      </c>
      <c r="K465" s="3">
        <v>179.99</v>
      </c>
      <c r="L465" s="7">
        <v>0</v>
      </c>
      <c r="M465" s="3" t="s">
        <v>80</v>
      </c>
      <c r="N465" s="3">
        <v>899.95</v>
      </c>
      <c r="O465" s="3">
        <v>0</v>
      </c>
      <c r="P465" s="3">
        <v>899.95</v>
      </c>
    </row>
    <row r="466" spans="1:16" x14ac:dyDescent="0.3">
      <c r="A466" s="3" t="s">
        <v>996</v>
      </c>
      <c r="B466" s="15">
        <v>45812</v>
      </c>
      <c r="C466" s="15" t="str">
        <f t="shared" si="7"/>
        <v>June</v>
      </c>
      <c r="D466" s="3" t="s">
        <v>282</v>
      </c>
      <c r="E466" s="3" t="s">
        <v>32</v>
      </c>
      <c r="F466" s="3" t="s">
        <v>45</v>
      </c>
      <c r="G466" s="3" t="s">
        <v>20</v>
      </c>
      <c r="H466" s="3" t="s">
        <v>21</v>
      </c>
      <c r="I466" s="3" t="s">
        <v>87</v>
      </c>
      <c r="J466" s="5">
        <v>3</v>
      </c>
      <c r="K466" s="3">
        <v>149.99</v>
      </c>
      <c r="L466" s="7">
        <v>0.15</v>
      </c>
      <c r="M466" s="3" t="s">
        <v>37</v>
      </c>
      <c r="N466" s="3">
        <v>449.97</v>
      </c>
      <c r="O466" s="3">
        <v>67.5</v>
      </c>
      <c r="P466" s="3">
        <v>382.47</v>
      </c>
    </row>
    <row r="467" spans="1:16" x14ac:dyDescent="0.3">
      <c r="A467" s="3" t="s">
        <v>997</v>
      </c>
      <c r="B467" s="15">
        <v>45931</v>
      </c>
      <c r="C467" s="15" t="str">
        <f t="shared" si="7"/>
        <v>October</v>
      </c>
      <c r="D467" s="3" t="s">
        <v>999</v>
      </c>
      <c r="E467" s="3" t="s">
        <v>72</v>
      </c>
      <c r="F467" s="3" t="s">
        <v>73</v>
      </c>
      <c r="G467" s="3" t="s">
        <v>20</v>
      </c>
      <c r="H467" s="3" t="s">
        <v>74</v>
      </c>
      <c r="I467" s="3" t="s">
        <v>75</v>
      </c>
      <c r="J467" s="5">
        <v>4</v>
      </c>
      <c r="K467" s="3">
        <v>299.99</v>
      </c>
      <c r="L467" s="7">
        <v>0</v>
      </c>
      <c r="M467" s="3" t="s">
        <v>23</v>
      </c>
      <c r="N467" s="3">
        <v>1199.96</v>
      </c>
      <c r="O467" s="3">
        <v>0</v>
      </c>
      <c r="P467" s="3">
        <v>1199.96</v>
      </c>
    </row>
    <row r="468" spans="1:16" x14ac:dyDescent="0.3">
      <c r="A468" s="3" t="s">
        <v>1000</v>
      </c>
      <c r="B468" s="15">
        <v>45989</v>
      </c>
      <c r="C468" s="15" t="str">
        <f t="shared" si="7"/>
        <v>November</v>
      </c>
      <c r="D468" s="3" t="s">
        <v>505</v>
      </c>
      <c r="E468" s="3" t="s">
        <v>51</v>
      </c>
      <c r="F468" s="3" t="s">
        <v>52</v>
      </c>
      <c r="G468" s="3" t="s">
        <v>20</v>
      </c>
      <c r="H468" s="3" t="s">
        <v>62</v>
      </c>
      <c r="I468" s="3" t="s">
        <v>249</v>
      </c>
      <c r="J468" s="5">
        <v>6</v>
      </c>
      <c r="K468" s="3">
        <v>49.99</v>
      </c>
      <c r="L468" s="7">
        <v>0.15</v>
      </c>
      <c r="M468" s="3" t="s">
        <v>47</v>
      </c>
      <c r="N468" s="3">
        <v>299.94</v>
      </c>
      <c r="O468" s="3">
        <v>44.99</v>
      </c>
      <c r="P468" s="3">
        <v>254.95</v>
      </c>
    </row>
    <row r="469" spans="1:16" x14ac:dyDescent="0.3">
      <c r="A469" s="3" t="s">
        <v>1002</v>
      </c>
      <c r="B469" s="15">
        <v>45933</v>
      </c>
      <c r="C469" s="15" t="str">
        <f t="shared" si="7"/>
        <v>October</v>
      </c>
      <c r="D469" s="3" t="s">
        <v>936</v>
      </c>
      <c r="E469" s="3" t="s">
        <v>27</v>
      </c>
      <c r="F469" s="3" t="s">
        <v>123</v>
      </c>
      <c r="G469" s="3" t="s">
        <v>20</v>
      </c>
      <c r="H469" s="3" t="s">
        <v>21</v>
      </c>
      <c r="I469" s="3" t="s">
        <v>22</v>
      </c>
      <c r="J469" s="5">
        <v>5</v>
      </c>
      <c r="K469" s="3">
        <v>89.99</v>
      </c>
      <c r="L469" s="7">
        <v>0.05</v>
      </c>
      <c r="M469" s="3" t="s">
        <v>37</v>
      </c>
      <c r="N469" s="3">
        <v>449.95</v>
      </c>
      <c r="O469" s="3">
        <v>22.5</v>
      </c>
      <c r="P469" s="3">
        <v>427.45</v>
      </c>
    </row>
    <row r="470" spans="1:16" x14ac:dyDescent="0.3">
      <c r="A470" s="3" t="s">
        <v>1003</v>
      </c>
      <c r="B470" s="15">
        <v>45730</v>
      </c>
      <c r="C470" s="15" t="str">
        <f t="shared" si="7"/>
        <v>March</v>
      </c>
      <c r="D470" s="3" t="s">
        <v>981</v>
      </c>
      <c r="E470" s="3" t="s">
        <v>51</v>
      </c>
      <c r="F470" s="3" t="s">
        <v>52</v>
      </c>
      <c r="G470" s="3" t="s">
        <v>20</v>
      </c>
      <c r="H470" s="3" t="s">
        <v>35</v>
      </c>
      <c r="I470" s="3" t="s">
        <v>134</v>
      </c>
      <c r="J470" s="5">
        <v>6</v>
      </c>
      <c r="K470" s="3">
        <v>139.99</v>
      </c>
      <c r="L470" s="7">
        <v>0.1</v>
      </c>
      <c r="M470" s="3" t="s">
        <v>47</v>
      </c>
      <c r="N470" s="3">
        <v>839.94</v>
      </c>
      <c r="O470" s="3">
        <v>83.99</v>
      </c>
      <c r="P470" s="3">
        <v>755.95</v>
      </c>
    </row>
    <row r="471" spans="1:16" x14ac:dyDescent="0.3">
      <c r="A471" s="3" t="s">
        <v>1004</v>
      </c>
      <c r="B471" s="15">
        <v>45948</v>
      </c>
      <c r="C471" s="15" t="str">
        <f t="shared" si="7"/>
        <v>October</v>
      </c>
      <c r="D471" s="3" t="s">
        <v>397</v>
      </c>
      <c r="E471" s="3" t="s">
        <v>51</v>
      </c>
      <c r="F471" s="3" t="s">
        <v>108</v>
      </c>
      <c r="G471" s="3" t="s">
        <v>20</v>
      </c>
      <c r="H471" s="3" t="s">
        <v>62</v>
      </c>
      <c r="I471" s="3" t="s">
        <v>249</v>
      </c>
      <c r="J471" s="5">
        <v>2</v>
      </c>
      <c r="K471" s="3">
        <v>49.99</v>
      </c>
      <c r="L471" s="7">
        <v>0.15</v>
      </c>
      <c r="M471" s="3" t="s">
        <v>23</v>
      </c>
      <c r="N471" s="3">
        <v>99.98</v>
      </c>
      <c r="O471" s="3">
        <v>15</v>
      </c>
      <c r="P471" s="3">
        <v>84.98</v>
      </c>
    </row>
    <row r="472" spans="1:16" x14ac:dyDescent="0.3">
      <c r="A472" s="3" t="s">
        <v>1006</v>
      </c>
      <c r="B472" s="15">
        <v>45759</v>
      </c>
      <c r="C472" s="15" t="str">
        <f t="shared" si="7"/>
        <v>April</v>
      </c>
      <c r="D472" s="3" t="s">
        <v>268</v>
      </c>
      <c r="E472" s="3" t="s">
        <v>18</v>
      </c>
      <c r="F472" s="3" t="s">
        <v>19</v>
      </c>
      <c r="G472" s="3" t="s">
        <v>34</v>
      </c>
      <c r="H472" s="3" t="s">
        <v>62</v>
      </c>
      <c r="I472" s="3" t="s">
        <v>124</v>
      </c>
      <c r="J472" s="5">
        <v>3</v>
      </c>
      <c r="K472" s="3">
        <v>399.99</v>
      </c>
      <c r="L472" s="7">
        <v>0</v>
      </c>
      <c r="M472" s="3" t="s">
        <v>37</v>
      </c>
      <c r="N472" s="3">
        <v>1199.97</v>
      </c>
      <c r="O472" s="3">
        <v>0</v>
      </c>
      <c r="P472" s="3">
        <v>1199.97</v>
      </c>
    </row>
    <row r="473" spans="1:16" x14ac:dyDescent="0.3">
      <c r="A473" s="3" t="s">
        <v>1007</v>
      </c>
      <c r="B473" s="15">
        <v>45693</v>
      </c>
      <c r="C473" s="15" t="str">
        <f t="shared" si="7"/>
        <v>February</v>
      </c>
      <c r="D473" s="3" t="s">
        <v>1008</v>
      </c>
      <c r="E473" s="3" t="s">
        <v>51</v>
      </c>
      <c r="F473" s="3" t="s">
        <v>108</v>
      </c>
      <c r="G473" s="3" t="s">
        <v>20</v>
      </c>
      <c r="H473" s="3" t="s">
        <v>57</v>
      </c>
      <c r="I473" s="3" t="s">
        <v>58</v>
      </c>
      <c r="J473" s="5">
        <v>3</v>
      </c>
      <c r="K473" s="3">
        <v>89.99</v>
      </c>
      <c r="L473" s="7">
        <v>0.1</v>
      </c>
      <c r="M473" s="3" t="s">
        <v>37</v>
      </c>
      <c r="N473" s="3">
        <v>269.97000000000003</v>
      </c>
      <c r="O473" s="3">
        <v>27</v>
      </c>
      <c r="P473" s="3">
        <v>242.97</v>
      </c>
    </row>
    <row r="474" spans="1:16" x14ac:dyDescent="0.3">
      <c r="A474" s="3" t="s">
        <v>1009</v>
      </c>
      <c r="B474" s="15">
        <v>45736</v>
      </c>
      <c r="C474" s="15" t="str">
        <f t="shared" si="7"/>
        <v>March</v>
      </c>
      <c r="D474" s="3" t="s">
        <v>415</v>
      </c>
      <c r="E474" s="3" t="s">
        <v>18</v>
      </c>
      <c r="F474" s="3" t="s">
        <v>56</v>
      </c>
      <c r="G474" s="3" t="s">
        <v>34</v>
      </c>
      <c r="H474" s="3" t="s">
        <v>74</v>
      </c>
      <c r="I474" s="3" t="s">
        <v>75</v>
      </c>
      <c r="J474" s="5">
        <v>6</v>
      </c>
      <c r="K474" s="3">
        <v>299.99</v>
      </c>
      <c r="L474" s="7">
        <v>0.1</v>
      </c>
      <c r="M474" s="3" t="s">
        <v>37</v>
      </c>
      <c r="N474" s="3">
        <v>1799.94</v>
      </c>
      <c r="O474" s="3">
        <v>179.99</v>
      </c>
      <c r="P474" s="3">
        <v>1619.95</v>
      </c>
    </row>
    <row r="475" spans="1:16" x14ac:dyDescent="0.3">
      <c r="A475" s="3" t="s">
        <v>1010</v>
      </c>
      <c r="B475" s="15">
        <v>46022</v>
      </c>
      <c r="C475" s="15" t="str">
        <f t="shared" si="7"/>
        <v>December</v>
      </c>
      <c r="D475" s="3" t="s">
        <v>160</v>
      </c>
      <c r="E475" s="3" t="s">
        <v>27</v>
      </c>
      <c r="F475" s="3" t="s">
        <v>67</v>
      </c>
      <c r="G475" s="3" t="s">
        <v>34</v>
      </c>
      <c r="H475" s="3" t="s">
        <v>74</v>
      </c>
      <c r="I475" s="3" t="s">
        <v>112</v>
      </c>
      <c r="J475" s="5">
        <v>2</v>
      </c>
      <c r="K475" s="3">
        <v>129.99</v>
      </c>
      <c r="L475" s="7">
        <v>0</v>
      </c>
      <c r="M475" s="3" t="s">
        <v>37</v>
      </c>
      <c r="N475" s="3">
        <v>259.98</v>
      </c>
      <c r="O475" s="3">
        <v>0</v>
      </c>
      <c r="P475" s="3">
        <v>259.98</v>
      </c>
    </row>
    <row r="476" spans="1:16" x14ac:dyDescent="0.3">
      <c r="A476" s="3" t="s">
        <v>1011</v>
      </c>
      <c r="B476" s="15">
        <v>45841</v>
      </c>
      <c r="C476" s="15" t="str">
        <f t="shared" si="7"/>
        <v>July</v>
      </c>
      <c r="D476" s="3" t="s">
        <v>1012</v>
      </c>
      <c r="E476" s="3" t="s">
        <v>18</v>
      </c>
      <c r="F476" s="3" t="s">
        <v>56</v>
      </c>
      <c r="G476" s="3" t="s">
        <v>34</v>
      </c>
      <c r="H476" s="3" t="s">
        <v>57</v>
      </c>
      <c r="I476" s="3" t="s">
        <v>58</v>
      </c>
      <c r="J476" s="5">
        <v>4</v>
      </c>
      <c r="K476" s="3">
        <v>89.99</v>
      </c>
      <c r="L476" s="7">
        <v>0.05</v>
      </c>
      <c r="M476" s="3" t="s">
        <v>23</v>
      </c>
      <c r="N476" s="3">
        <v>359.96</v>
      </c>
      <c r="O476" s="3">
        <v>18</v>
      </c>
      <c r="P476" s="3">
        <v>341.96</v>
      </c>
    </row>
    <row r="477" spans="1:16" x14ac:dyDescent="0.3">
      <c r="A477" s="3" t="s">
        <v>1013</v>
      </c>
      <c r="B477" s="15">
        <v>45933</v>
      </c>
      <c r="C477" s="15" t="str">
        <f t="shared" si="7"/>
        <v>October</v>
      </c>
      <c r="D477" s="3" t="s">
        <v>577</v>
      </c>
      <c r="E477" s="3" t="s">
        <v>51</v>
      </c>
      <c r="F477" s="3" t="s">
        <v>108</v>
      </c>
      <c r="G477" s="3" t="s">
        <v>34</v>
      </c>
      <c r="H477" s="3" t="s">
        <v>62</v>
      </c>
      <c r="I477" s="3" t="s">
        <v>124</v>
      </c>
      <c r="J477" s="5">
        <v>3</v>
      </c>
      <c r="K477" s="3">
        <v>399.99</v>
      </c>
      <c r="L477" s="7">
        <v>0</v>
      </c>
      <c r="M477" s="3" t="s">
        <v>80</v>
      </c>
      <c r="N477" s="3">
        <v>1199.97</v>
      </c>
      <c r="O477" s="3">
        <v>0</v>
      </c>
      <c r="P477" s="3">
        <v>1199.97</v>
      </c>
    </row>
    <row r="478" spans="1:16" x14ac:dyDescent="0.3">
      <c r="A478" s="3" t="s">
        <v>1014</v>
      </c>
      <c r="B478" s="15">
        <v>45865</v>
      </c>
      <c r="C478" s="15" t="str">
        <f t="shared" si="7"/>
        <v>July</v>
      </c>
      <c r="D478" s="3" t="s">
        <v>1016</v>
      </c>
      <c r="E478" s="3" t="s">
        <v>32</v>
      </c>
      <c r="F478" s="3" t="s">
        <v>45</v>
      </c>
      <c r="G478" s="3" t="s">
        <v>20</v>
      </c>
      <c r="H478" s="3" t="s">
        <v>21</v>
      </c>
      <c r="I478" s="3" t="s">
        <v>22</v>
      </c>
      <c r="J478" s="5">
        <v>5</v>
      </c>
      <c r="K478" s="3">
        <v>89.99</v>
      </c>
      <c r="L478" s="7">
        <v>0.1</v>
      </c>
      <c r="M478" s="3" t="s">
        <v>80</v>
      </c>
      <c r="N478" s="3">
        <v>449.95</v>
      </c>
      <c r="O478" s="3">
        <v>45</v>
      </c>
      <c r="P478" s="3">
        <v>404.95</v>
      </c>
    </row>
    <row r="479" spans="1:16" x14ac:dyDescent="0.3">
      <c r="A479" s="3" t="s">
        <v>1017</v>
      </c>
      <c r="B479" s="15">
        <v>45845</v>
      </c>
      <c r="C479" s="15" t="str">
        <f t="shared" si="7"/>
        <v>July</v>
      </c>
      <c r="D479" s="3" t="s">
        <v>1019</v>
      </c>
      <c r="E479" s="3" t="s">
        <v>32</v>
      </c>
      <c r="F479" s="3" t="s">
        <v>33</v>
      </c>
      <c r="G479" s="3" t="s">
        <v>20</v>
      </c>
      <c r="H479" s="3" t="s">
        <v>62</v>
      </c>
      <c r="I479" s="3" t="s">
        <v>249</v>
      </c>
      <c r="J479" s="5">
        <v>6</v>
      </c>
      <c r="K479" s="3">
        <v>49.99</v>
      </c>
      <c r="L479" s="7">
        <v>0</v>
      </c>
      <c r="M479" s="3" t="s">
        <v>37</v>
      </c>
      <c r="N479" s="3">
        <v>299.94</v>
      </c>
      <c r="O479" s="3">
        <v>0</v>
      </c>
      <c r="P479" s="3">
        <v>299.94</v>
      </c>
    </row>
    <row r="480" spans="1:16" x14ac:dyDescent="0.3">
      <c r="A480" s="3" t="s">
        <v>1020</v>
      </c>
      <c r="B480" s="15">
        <v>45915</v>
      </c>
      <c r="C480" s="15" t="str">
        <f t="shared" si="7"/>
        <v>September</v>
      </c>
      <c r="D480" s="3" t="s">
        <v>146</v>
      </c>
      <c r="E480" s="3" t="s">
        <v>32</v>
      </c>
      <c r="F480" s="3" t="s">
        <v>45</v>
      </c>
      <c r="G480" s="3" t="s">
        <v>20</v>
      </c>
      <c r="H480" s="3" t="s">
        <v>35</v>
      </c>
      <c r="I480" s="3" t="s">
        <v>36</v>
      </c>
      <c r="J480" s="5">
        <v>4</v>
      </c>
      <c r="K480" s="3">
        <v>79.989999999999995</v>
      </c>
      <c r="L480" s="7">
        <v>0</v>
      </c>
      <c r="M480" s="3" t="s">
        <v>47</v>
      </c>
      <c r="N480" s="3">
        <v>319.95999999999998</v>
      </c>
      <c r="O480" s="3">
        <v>0</v>
      </c>
      <c r="P480" s="3">
        <v>319.95999999999998</v>
      </c>
    </row>
    <row r="481" spans="1:16" x14ac:dyDescent="0.3">
      <c r="A481" s="3" t="s">
        <v>1022</v>
      </c>
      <c r="B481" s="15">
        <v>45947</v>
      </c>
      <c r="C481" s="15" t="str">
        <f t="shared" si="7"/>
        <v>October</v>
      </c>
      <c r="D481" s="3" t="s">
        <v>845</v>
      </c>
      <c r="E481" s="3" t="s">
        <v>72</v>
      </c>
      <c r="F481" s="3" t="s">
        <v>73</v>
      </c>
      <c r="G481" s="3" t="s">
        <v>20</v>
      </c>
      <c r="H481" s="3" t="s">
        <v>62</v>
      </c>
      <c r="I481" s="3" t="s">
        <v>63</v>
      </c>
      <c r="J481" s="5">
        <v>2</v>
      </c>
      <c r="K481" s="3">
        <v>199.99</v>
      </c>
      <c r="L481" s="7">
        <v>0.1</v>
      </c>
      <c r="M481" s="3" t="s">
        <v>23</v>
      </c>
      <c r="N481" s="3">
        <v>399.98</v>
      </c>
      <c r="O481" s="3">
        <v>40</v>
      </c>
      <c r="P481" s="3">
        <v>359.98</v>
      </c>
    </row>
    <row r="482" spans="1:16" x14ac:dyDescent="0.3">
      <c r="A482" s="3" t="s">
        <v>1023</v>
      </c>
      <c r="B482" s="15">
        <v>45793</v>
      </c>
      <c r="C482" s="15" t="str">
        <f t="shared" si="7"/>
        <v>May</v>
      </c>
      <c r="D482" s="3" t="s">
        <v>453</v>
      </c>
      <c r="E482" s="3" t="s">
        <v>51</v>
      </c>
      <c r="F482" s="3" t="s">
        <v>52</v>
      </c>
      <c r="G482" s="3" t="s">
        <v>20</v>
      </c>
      <c r="H482" s="3" t="s">
        <v>57</v>
      </c>
      <c r="I482" s="3" t="s">
        <v>300</v>
      </c>
      <c r="J482" s="5">
        <v>2</v>
      </c>
      <c r="K482" s="3">
        <v>179.99</v>
      </c>
      <c r="L482" s="7">
        <v>0</v>
      </c>
      <c r="M482" s="3" t="s">
        <v>80</v>
      </c>
      <c r="N482" s="3">
        <v>359.98</v>
      </c>
      <c r="O482" s="3">
        <v>0</v>
      </c>
      <c r="P482" s="3">
        <v>359.98</v>
      </c>
    </row>
    <row r="483" spans="1:16" x14ac:dyDescent="0.3">
      <c r="A483" s="3" t="s">
        <v>1024</v>
      </c>
      <c r="B483" s="15">
        <v>45678</v>
      </c>
      <c r="C483" s="15" t="str">
        <f t="shared" si="7"/>
        <v>January</v>
      </c>
      <c r="D483" s="3" t="s">
        <v>612</v>
      </c>
      <c r="E483" s="3" t="s">
        <v>72</v>
      </c>
      <c r="F483" s="3" t="s">
        <v>152</v>
      </c>
      <c r="G483" s="3" t="s">
        <v>34</v>
      </c>
      <c r="H483" s="3" t="s">
        <v>35</v>
      </c>
      <c r="I483" s="3" t="s">
        <v>134</v>
      </c>
      <c r="J483" s="5">
        <v>4</v>
      </c>
      <c r="K483" s="3">
        <v>139.99</v>
      </c>
      <c r="L483" s="7">
        <v>0</v>
      </c>
      <c r="M483" s="3" t="s">
        <v>80</v>
      </c>
      <c r="N483" s="3">
        <v>559.96</v>
      </c>
      <c r="O483" s="3">
        <v>0</v>
      </c>
      <c r="P483" s="3">
        <v>559.96</v>
      </c>
    </row>
    <row r="484" spans="1:16" x14ac:dyDescent="0.3">
      <c r="A484" s="3" t="s">
        <v>1025</v>
      </c>
      <c r="B484" s="15">
        <v>45851</v>
      </c>
      <c r="C484" s="15" t="str">
        <f t="shared" si="7"/>
        <v>July</v>
      </c>
      <c r="D484" s="3" t="s">
        <v>928</v>
      </c>
      <c r="E484" s="3" t="s">
        <v>18</v>
      </c>
      <c r="F484" s="3" t="s">
        <v>19</v>
      </c>
      <c r="G484" s="3" t="s">
        <v>20</v>
      </c>
      <c r="H484" s="3" t="s">
        <v>62</v>
      </c>
      <c r="I484" s="3" t="s">
        <v>249</v>
      </c>
      <c r="J484" s="5">
        <v>4</v>
      </c>
      <c r="K484" s="3">
        <v>49.99</v>
      </c>
      <c r="L484" s="7">
        <v>0.15</v>
      </c>
      <c r="M484" s="3" t="s">
        <v>37</v>
      </c>
      <c r="N484" s="3">
        <v>199.96</v>
      </c>
      <c r="O484" s="3">
        <v>29.99</v>
      </c>
      <c r="P484" s="3">
        <v>169.97</v>
      </c>
    </row>
    <row r="485" spans="1:16" x14ac:dyDescent="0.3">
      <c r="A485" s="3" t="s">
        <v>1026</v>
      </c>
      <c r="B485" s="15">
        <v>45907</v>
      </c>
      <c r="C485" s="15" t="str">
        <f t="shared" si="7"/>
        <v>September</v>
      </c>
      <c r="D485" s="3" t="s">
        <v>491</v>
      </c>
      <c r="E485" s="3" t="s">
        <v>32</v>
      </c>
      <c r="F485" s="3" t="s">
        <v>33</v>
      </c>
      <c r="G485" s="3" t="s">
        <v>34</v>
      </c>
      <c r="H485" s="3" t="s">
        <v>74</v>
      </c>
      <c r="I485" s="3" t="s">
        <v>112</v>
      </c>
      <c r="J485" s="5">
        <v>3</v>
      </c>
      <c r="K485" s="3">
        <v>129.99</v>
      </c>
      <c r="L485" s="7">
        <v>0</v>
      </c>
      <c r="M485" s="3" t="s">
        <v>80</v>
      </c>
      <c r="N485" s="3">
        <v>389.97</v>
      </c>
      <c r="O485" s="3">
        <v>0</v>
      </c>
      <c r="P485" s="3">
        <v>389.97</v>
      </c>
    </row>
    <row r="486" spans="1:16" x14ac:dyDescent="0.3">
      <c r="A486" s="3" t="s">
        <v>1027</v>
      </c>
      <c r="B486" s="15">
        <v>45921</v>
      </c>
      <c r="C486" s="15" t="str">
        <f t="shared" si="7"/>
        <v>September</v>
      </c>
      <c r="D486" s="3" t="s">
        <v>466</v>
      </c>
      <c r="E486" s="3" t="s">
        <v>72</v>
      </c>
      <c r="F486" s="3" t="s">
        <v>73</v>
      </c>
      <c r="G486" s="3" t="s">
        <v>34</v>
      </c>
      <c r="H486" s="3" t="s">
        <v>62</v>
      </c>
      <c r="I486" s="3" t="s">
        <v>63</v>
      </c>
      <c r="J486" s="5">
        <v>2</v>
      </c>
      <c r="K486" s="3">
        <v>199.99</v>
      </c>
      <c r="L486" s="7">
        <v>0</v>
      </c>
      <c r="M486" s="3" t="s">
        <v>47</v>
      </c>
      <c r="N486" s="3">
        <v>399.98</v>
      </c>
      <c r="O486" s="3">
        <v>0</v>
      </c>
      <c r="P486" s="3">
        <v>399.98</v>
      </c>
    </row>
    <row r="487" spans="1:16" x14ac:dyDescent="0.3">
      <c r="A487" s="3" t="s">
        <v>1028</v>
      </c>
      <c r="B487" s="15">
        <v>45718</v>
      </c>
      <c r="C487" s="15" t="str">
        <f t="shared" si="7"/>
        <v>March</v>
      </c>
      <c r="D487" s="3" t="s">
        <v>129</v>
      </c>
      <c r="E487" s="3" t="s">
        <v>51</v>
      </c>
      <c r="F487" s="3" t="s">
        <v>52</v>
      </c>
      <c r="G487" s="3" t="s">
        <v>20</v>
      </c>
      <c r="H487" s="3" t="s">
        <v>35</v>
      </c>
      <c r="I487" s="3" t="s">
        <v>41</v>
      </c>
      <c r="J487" s="5">
        <v>5</v>
      </c>
      <c r="K487" s="3">
        <v>104.99</v>
      </c>
      <c r="L487" s="7">
        <v>0.15</v>
      </c>
      <c r="M487" s="3" t="s">
        <v>23</v>
      </c>
      <c r="N487" s="3">
        <v>524.95000000000005</v>
      </c>
      <c r="O487" s="3">
        <v>78.739999999999995</v>
      </c>
      <c r="P487" s="3">
        <v>446.21</v>
      </c>
    </row>
    <row r="488" spans="1:16" x14ac:dyDescent="0.3">
      <c r="A488" s="3" t="s">
        <v>1030</v>
      </c>
      <c r="B488" s="15">
        <v>45960</v>
      </c>
      <c r="C488" s="15" t="str">
        <f t="shared" si="7"/>
        <v>October</v>
      </c>
      <c r="D488" s="3" t="s">
        <v>981</v>
      </c>
      <c r="E488" s="3" t="s">
        <v>72</v>
      </c>
      <c r="F488" s="3" t="s">
        <v>152</v>
      </c>
      <c r="G488" s="3" t="s">
        <v>34</v>
      </c>
      <c r="H488" s="3" t="s">
        <v>57</v>
      </c>
      <c r="I488" s="3" t="s">
        <v>300</v>
      </c>
      <c r="J488" s="5">
        <v>4</v>
      </c>
      <c r="K488" s="3">
        <v>179.99</v>
      </c>
      <c r="L488" s="7">
        <v>0</v>
      </c>
      <c r="M488" s="3" t="s">
        <v>80</v>
      </c>
      <c r="N488" s="3">
        <v>719.96</v>
      </c>
      <c r="O488" s="3">
        <v>0</v>
      </c>
      <c r="P488" s="3">
        <v>719.96</v>
      </c>
    </row>
    <row r="489" spans="1:16" x14ac:dyDescent="0.3">
      <c r="A489" s="3" t="s">
        <v>1032</v>
      </c>
      <c r="B489" s="15">
        <v>45920</v>
      </c>
      <c r="C489" s="15" t="str">
        <f t="shared" si="7"/>
        <v>September</v>
      </c>
      <c r="D489" s="3" t="s">
        <v>1033</v>
      </c>
      <c r="E489" s="3" t="s">
        <v>51</v>
      </c>
      <c r="F489" s="3" t="s">
        <v>108</v>
      </c>
      <c r="G489" s="3" t="s">
        <v>20</v>
      </c>
      <c r="H489" s="3" t="s">
        <v>35</v>
      </c>
      <c r="I489" s="3" t="s">
        <v>199</v>
      </c>
      <c r="J489" s="5">
        <v>2</v>
      </c>
      <c r="K489" s="3">
        <v>99.99</v>
      </c>
      <c r="L489" s="7">
        <v>0.15</v>
      </c>
      <c r="M489" s="3" t="s">
        <v>80</v>
      </c>
      <c r="N489" s="3">
        <v>199.98</v>
      </c>
      <c r="O489" s="3">
        <v>30</v>
      </c>
      <c r="P489" s="3">
        <v>169.98</v>
      </c>
    </row>
    <row r="490" spans="1:16" x14ac:dyDescent="0.3">
      <c r="A490" s="3" t="s">
        <v>1034</v>
      </c>
      <c r="B490" s="15">
        <v>45984</v>
      </c>
      <c r="C490" s="15" t="str">
        <f t="shared" si="7"/>
        <v>November</v>
      </c>
      <c r="D490" s="3" t="s">
        <v>92</v>
      </c>
      <c r="E490" s="3" t="s">
        <v>51</v>
      </c>
      <c r="F490" s="3" t="s">
        <v>52</v>
      </c>
      <c r="G490" s="3" t="s">
        <v>34</v>
      </c>
      <c r="H490" s="3" t="s">
        <v>35</v>
      </c>
      <c r="I490" s="3" t="s">
        <v>134</v>
      </c>
      <c r="J490" s="5">
        <v>5</v>
      </c>
      <c r="K490" s="3">
        <v>139.99</v>
      </c>
      <c r="L490" s="7">
        <v>0.1</v>
      </c>
      <c r="M490" s="3" t="s">
        <v>80</v>
      </c>
      <c r="N490" s="3">
        <v>699.95</v>
      </c>
      <c r="O490" s="3">
        <v>70</v>
      </c>
      <c r="P490" s="3">
        <v>629.95000000000005</v>
      </c>
    </row>
    <row r="491" spans="1:16" x14ac:dyDescent="0.3">
      <c r="A491" s="3" t="s">
        <v>1035</v>
      </c>
      <c r="B491" s="15">
        <v>45770</v>
      </c>
      <c r="C491" s="15" t="str">
        <f t="shared" si="7"/>
        <v>April</v>
      </c>
      <c r="D491" s="3" t="s">
        <v>438</v>
      </c>
      <c r="E491" s="3" t="s">
        <v>32</v>
      </c>
      <c r="F491" s="3" t="s">
        <v>33</v>
      </c>
      <c r="G491" s="3" t="s">
        <v>34</v>
      </c>
      <c r="H491" s="3" t="s">
        <v>35</v>
      </c>
      <c r="I491" s="3" t="s">
        <v>36</v>
      </c>
      <c r="J491" s="5">
        <v>4</v>
      </c>
      <c r="K491" s="3">
        <v>79.989999999999995</v>
      </c>
      <c r="L491" s="7">
        <v>0</v>
      </c>
      <c r="M491" s="3" t="s">
        <v>47</v>
      </c>
      <c r="N491" s="3">
        <v>319.95999999999998</v>
      </c>
      <c r="O491" s="3">
        <v>0</v>
      </c>
      <c r="P491" s="3">
        <v>319.95999999999998</v>
      </c>
    </row>
    <row r="492" spans="1:16" x14ac:dyDescent="0.3">
      <c r="A492" s="3" t="s">
        <v>1036</v>
      </c>
      <c r="B492" s="15">
        <v>46009</v>
      </c>
      <c r="C492" s="15" t="str">
        <f t="shared" si="7"/>
        <v>December</v>
      </c>
      <c r="D492" s="3" t="s">
        <v>323</v>
      </c>
      <c r="E492" s="3" t="s">
        <v>32</v>
      </c>
      <c r="F492" s="3" t="s">
        <v>33</v>
      </c>
      <c r="G492" s="3" t="s">
        <v>34</v>
      </c>
      <c r="H492" s="3" t="s">
        <v>62</v>
      </c>
      <c r="I492" s="3" t="s">
        <v>63</v>
      </c>
      <c r="J492" s="5">
        <v>2</v>
      </c>
      <c r="K492" s="3">
        <v>199.99</v>
      </c>
      <c r="L492" s="7">
        <v>0.15</v>
      </c>
      <c r="M492" s="3" t="s">
        <v>80</v>
      </c>
      <c r="N492" s="3">
        <v>399.98</v>
      </c>
      <c r="O492" s="3">
        <v>60</v>
      </c>
      <c r="P492" s="3">
        <v>339.98</v>
      </c>
    </row>
    <row r="493" spans="1:16" x14ac:dyDescent="0.3">
      <c r="A493" s="3" t="s">
        <v>1037</v>
      </c>
      <c r="B493" s="15">
        <v>45761</v>
      </c>
      <c r="C493" s="15" t="str">
        <f t="shared" si="7"/>
        <v>April</v>
      </c>
      <c r="D493" s="3" t="s">
        <v>392</v>
      </c>
      <c r="E493" s="3" t="s">
        <v>72</v>
      </c>
      <c r="F493" s="3" t="s">
        <v>73</v>
      </c>
      <c r="G493" s="3" t="s">
        <v>34</v>
      </c>
      <c r="H493" s="3" t="s">
        <v>35</v>
      </c>
      <c r="I493" s="3" t="s">
        <v>36</v>
      </c>
      <c r="J493" s="5">
        <v>1</v>
      </c>
      <c r="K493" s="3">
        <v>79.989999999999995</v>
      </c>
      <c r="L493" s="7">
        <v>0</v>
      </c>
      <c r="M493" s="3" t="s">
        <v>47</v>
      </c>
      <c r="N493" s="3">
        <v>79.989999999999995</v>
      </c>
      <c r="O493" s="3">
        <v>0</v>
      </c>
      <c r="P493" s="3">
        <v>79.989999999999995</v>
      </c>
    </row>
    <row r="494" spans="1:16" x14ac:dyDescent="0.3">
      <c r="A494" s="3" t="s">
        <v>1038</v>
      </c>
      <c r="B494" s="15">
        <v>45677</v>
      </c>
      <c r="C494" s="15" t="str">
        <f t="shared" si="7"/>
        <v>January</v>
      </c>
      <c r="D494" s="3" t="s">
        <v>360</v>
      </c>
      <c r="E494" s="3" t="s">
        <v>51</v>
      </c>
      <c r="F494" s="3" t="s">
        <v>52</v>
      </c>
      <c r="G494" s="3" t="s">
        <v>20</v>
      </c>
      <c r="H494" s="3" t="s">
        <v>62</v>
      </c>
      <c r="I494" s="3" t="s">
        <v>124</v>
      </c>
      <c r="J494" s="5">
        <v>5</v>
      </c>
      <c r="K494" s="3">
        <v>399.99</v>
      </c>
      <c r="L494" s="7">
        <v>0.1</v>
      </c>
      <c r="M494" s="3" t="s">
        <v>80</v>
      </c>
      <c r="N494" s="3">
        <v>1999.95</v>
      </c>
      <c r="O494" s="3">
        <v>200</v>
      </c>
      <c r="P494" s="3">
        <v>1799.95</v>
      </c>
    </row>
    <row r="495" spans="1:16" x14ac:dyDescent="0.3">
      <c r="A495" s="3" t="s">
        <v>1039</v>
      </c>
      <c r="B495" s="15">
        <v>45878</v>
      </c>
      <c r="C495" s="15" t="str">
        <f t="shared" si="7"/>
        <v>August</v>
      </c>
      <c r="D495" s="3" t="s">
        <v>392</v>
      </c>
      <c r="E495" s="3" t="s">
        <v>51</v>
      </c>
      <c r="F495" s="3" t="s">
        <v>108</v>
      </c>
      <c r="G495" s="3" t="s">
        <v>34</v>
      </c>
      <c r="H495" s="3" t="s">
        <v>74</v>
      </c>
      <c r="I495" s="3" t="s">
        <v>143</v>
      </c>
      <c r="J495" s="5">
        <v>6</v>
      </c>
      <c r="K495" s="3">
        <v>99.99</v>
      </c>
      <c r="L495" s="7">
        <v>0.15</v>
      </c>
      <c r="M495" s="3" t="s">
        <v>37</v>
      </c>
      <c r="N495" s="3">
        <v>599.94000000000005</v>
      </c>
      <c r="O495" s="3">
        <v>89.99</v>
      </c>
      <c r="P495" s="3">
        <v>509.95</v>
      </c>
    </row>
    <row r="496" spans="1:16" x14ac:dyDescent="0.3">
      <c r="A496" s="3" t="s">
        <v>1040</v>
      </c>
      <c r="B496" s="15">
        <v>45959</v>
      </c>
      <c r="C496" s="15" t="str">
        <f t="shared" si="7"/>
        <v>October</v>
      </c>
      <c r="D496" s="3" t="s">
        <v>1041</v>
      </c>
      <c r="E496" s="3" t="s">
        <v>51</v>
      </c>
      <c r="F496" s="3" t="s">
        <v>52</v>
      </c>
      <c r="G496" s="3" t="s">
        <v>20</v>
      </c>
      <c r="H496" s="3" t="s">
        <v>21</v>
      </c>
      <c r="I496" s="3" t="s">
        <v>46</v>
      </c>
      <c r="J496" s="5">
        <v>4</v>
      </c>
      <c r="K496" s="3">
        <v>119.99</v>
      </c>
      <c r="L496" s="7">
        <v>0</v>
      </c>
      <c r="M496" s="3" t="s">
        <v>23</v>
      </c>
      <c r="N496" s="3">
        <v>479.96</v>
      </c>
      <c r="O496" s="3">
        <v>0</v>
      </c>
      <c r="P496" s="3">
        <v>479.96</v>
      </c>
    </row>
    <row r="497" spans="1:16" x14ac:dyDescent="0.3">
      <c r="A497" s="3" t="s">
        <v>1042</v>
      </c>
      <c r="B497" s="15">
        <v>45964</v>
      </c>
      <c r="C497" s="15" t="str">
        <f t="shared" si="7"/>
        <v>November</v>
      </c>
      <c r="D497" s="3" t="s">
        <v>360</v>
      </c>
      <c r="E497" s="3" t="s">
        <v>72</v>
      </c>
      <c r="F497" s="3" t="s">
        <v>73</v>
      </c>
      <c r="G497" s="3" t="s">
        <v>34</v>
      </c>
      <c r="H497" s="3" t="s">
        <v>35</v>
      </c>
      <c r="I497" s="3" t="s">
        <v>134</v>
      </c>
      <c r="J497" s="5">
        <v>1</v>
      </c>
      <c r="K497" s="3">
        <v>139.99</v>
      </c>
      <c r="L497" s="7">
        <v>0</v>
      </c>
      <c r="M497" s="3" t="s">
        <v>37</v>
      </c>
      <c r="N497" s="3">
        <v>139.99</v>
      </c>
      <c r="O497" s="3">
        <v>0</v>
      </c>
      <c r="P497" s="3">
        <v>139.99</v>
      </c>
    </row>
    <row r="498" spans="1:16" x14ac:dyDescent="0.3">
      <c r="A498" s="3" t="s">
        <v>1043</v>
      </c>
      <c r="B498" s="15">
        <v>45924</v>
      </c>
      <c r="C498" s="15" t="str">
        <f t="shared" si="7"/>
        <v>September</v>
      </c>
      <c r="D498" s="3" t="s">
        <v>203</v>
      </c>
      <c r="E498" s="3" t="s">
        <v>27</v>
      </c>
      <c r="F498" s="3" t="s">
        <v>123</v>
      </c>
      <c r="G498" s="3" t="s">
        <v>34</v>
      </c>
      <c r="H498" s="3" t="s">
        <v>35</v>
      </c>
      <c r="I498" s="3" t="s">
        <v>199</v>
      </c>
      <c r="J498" s="5">
        <v>5</v>
      </c>
      <c r="K498" s="3">
        <v>99.99</v>
      </c>
      <c r="L498" s="7">
        <v>0</v>
      </c>
      <c r="M498" s="3" t="s">
        <v>47</v>
      </c>
      <c r="N498" s="3">
        <v>499.95</v>
      </c>
      <c r="O498" s="3">
        <v>0</v>
      </c>
      <c r="P498" s="3">
        <v>499.95</v>
      </c>
    </row>
    <row r="499" spans="1:16" x14ac:dyDescent="0.3">
      <c r="A499" s="3" t="s">
        <v>1044</v>
      </c>
      <c r="B499" s="15">
        <v>45991</v>
      </c>
      <c r="C499" s="15" t="str">
        <f t="shared" si="7"/>
        <v>November</v>
      </c>
      <c r="D499" s="3" t="s">
        <v>908</v>
      </c>
      <c r="E499" s="3" t="s">
        <v>18</v>
      </c>
      <c r="F499" s="3" t="s">
        <v>19</v>
      </c>
      <c r="G499" s="3" t="s">
        <v>34</v>
      </c>
      <c r="H499" s="3" t="s">
        <v>57</v>
      </c>
      <c r="I499" s="3" t="s">
        <v>130</v>
      </c>
      <c r="J499" s="5">
        <v>2</v>
      </c>
      <c r="K499" s="3">
        <v>109.99</v>
      </c>
      <c r="L499" s="7">
        <v>0.05</v>
      </c>
      <c r="M499" s="3" t="s">
        <v>37</v>
      </c>
      <c r="N499" s="3">
        <v>219.98</v>
      </c>
      <c r="O499" s="3">
        <v>11</v>
      </c>
      <c r="P499" s="3">
        <v>208.98</v>
      </c>
    </row>
    <row r="500" spans="1:16" x14ac:dyDescent="0.3">
      <c r="A500" s="3" t="s">
        <v>1045</v>
      </c>
      <c r="B500" s="15">
        <v>46006</v>
      </c>
      <c r="C500" s="15" t="str">
        <f t="shared" si="7"/>
        <v>December</v>
      </c>
      <c r="D500" s="3" t="s">
        <v>734</v>
      </c>
      <c r="E500" s="3" t="s">
        <v>32</v>
      </c>
      <c r="F500" s="3" t="s">
        <v>33</v>
      </c>
      <c r="G500" s="3" t="s">
        <v>20</v>
      </c>
      <c r="H500" s="3" t="s">
        <v>62</v>
      </c>
      <c r="I500" s="3" t="s">
        <v>79</v>
      </c>
      <c r="J500" s="5">
        <v>5</v>
      </c>
      <c r="K500" s="3">
        <v>249.99</v>
      </c>
      <c r="L500" s="7">
        <v>0</v>
      </c>
      <c r="M500" s="3" t="s">
        <v>23</v>
      </c>
      <c r="N500" s="3">
        <v>1249.95</v>
      </c>
      <c r="O500" s="3">
        <v>0</v>
      </c>
      <c r="P500" s="3">
        <v>1249.95</v>
      </c>
    </row>
    <row r="501" spans="1:16" x14ac:dyDescent="0.3">
      <c r="A501" s="3" t="s">
        <v>1046</v>
      </c>
      <c r="B501" s="15">
        <v>45905</v>
      </c>
      <c r="C501" s="15" t="str">
        <f t="shared" si="7"/>
        <v>September</v>
      </c>
      <c r="D501" s="3" t="s">
        <v>1047</v>
      </c>
      <c r="E501" s="3" t="s">
        <v>51</v>
      </c>
      <c r="F501" s="3" t="s">
        <v>52</v>
      </c>
      <c r="G501" s="3" t="s">
        <v>34</v>
      </c>
      <c r="H501" s="3" t="s">
        <v>62</v>
      </c>
      <c r="I501" s="3" t="s">
        <v>79</v>
      </c>
      <c r="J501" s="5">
        <v>5</v>
      </c>
      <c r="K501" s="3">
        <v>249.99</v>
      </c>
      <c r="L501" s="7">
        <v>0.1</v>
      </c>
      <c r="M501" s="3" t="s">
        <v>37</v>
      </c>
      <c r="N501" s="3">
        <v>1249.95</v>
      </c>
      <c r="O501" s="3">
        <v>125</v>
      </c>
      <c r="P501" s="3">
        <v>1124.95</v>
      </c>
    </row>
    <row r="505" spans="1:16" x14ac:dyDescent="0.3">
      <c r="B505" s="10" t="s">
        <v>1078</v>
      </c>
    </row>
    <row r="508" spans="1:16" x14ac:dyDescent="0.3">
      <c r="A508" s="8" t="s">
        <v>1057</v>
      </c>
      <c r="B508" s="8" t="s">
        <v>1058</v>
      </c>
      <c r="C508" s="8" t="s">
        <v>1059</v>
      </c>
    </row>
    <row r="509" spans="1:16" ht="28.8" x14ac:dyDescent="0.3">
      <c r="A509" s="9" t="s">
        <v>1060</v>
      </c>
      <c r="B509" s="9" t="s">
        <v>1061</v>
      </c>
      <c r="C509" s="9" t="s">
        <v>1062</v>
      </c>
    </row>
    <row r="510" spans="1:16" ht="28.8" x14ac:dyDescent="0.3">
      <c r="A510" s="9" t="s">
        <v>1063</v>
      </c>
      <c r="B510" s="9" t="s">
        <v>1064</v>
      </c>
      <c r="C510" s="9" t="s">
        <v>1062</v>
      </c>
    </row>
    <row r="511" spans="1:16" ht="28.8" x14ac:dyDescent="0.3">
      <c r="A511" s="9" t="s">
        <v>1065</v>
      </c>
      <c r="B511" s="9" t="s">
        <v>1064</v>
      </c>
      <c r="C511" s="9" t="s">
        <v>1062</v>
      </c>
    </row>
    <row r="512" spans="1:16" ht="28.8" x14ac:dyDescent="0.3">
      <c r="A512" s="9" t="s">
        <v>1066</v>
      </c>
      <c r="B512" s="9" t="s">
        <v>1067</v>
      </c>
      <c r="C512" s="9" t="s">
        <v>1068</v>
      </c>
    </row>
    <row r="513" spans="1:3" ht="28.8" x14ac:dyDescent="0.3">
      <c r="A513" s="9" t="s">
        <v>1052</v>
      </c>
      <c r="B513" s="9" t="s">
        <v>1069</v>
      </c>
      <c r="C513" s="9" t="s">
        <v>1070</v>
      </c>
    </row>
    <row r="514" spans="1:3" ht="28.8" x14ac:dyDescent="0.3">
      <c r="A514" s="9" t="s">
        <v>10</v>
      </c>
      <c r="B514" s="9" t="s">
        <v>1071</v>
      </c>
      <c r="C514" s="9" t="s">
        <v>1070</v>
      </c>
    </row>
    <row r="515" spans="1:3" ht="43.2" x14ac:dyDescent="0.3">
      <c r="A515" s="9" t="s">
        <v>1072</v>
      </c>
      <c r="B515" s="9" t="s">
        <v>1073</v>
      </c>
      <c r="C515" s="9" t="s">
        <v>1074</v>
      </c>
    </row>
    <row r="516" spans="1:3" ht="28.8" x14ac:dyDescent="0.3">
      <c r="A516" s="9" t="s">
        <v>1075</v>
      </c>
      <c r="B516" s="9" t="s">
        <v>1076</v>
      </c>
      <c r="C516" s="9" t="s">
        <v>1077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4B64-871C-44F6-8842-D381F0FF42B2}">
  <dimension ref="A1:B18"/>
  <sheetViews>
    <sheetView workbookViewId="0">
      <selection activeCell="B18" sqref="B18"/>
    </sheetView>
  </sheetViews>
  <sheetFormatPr defaultRowHeight="14.4" x14ac:dyDescent="0.3"/>
  <cols>
    <col min="1" max="1" width="22.77734375" bestFit="1" customWidth="1"/>
    <col min="2" max="2" width="16.88671875" customWidth="1"/>
  </cols>
  <sheetData>
    <row r="1" spans="1:2" x14ac:dyDescent="0.3">
      <c r="A1" t="s">
        <v>1079</v>
      </c>
      <c r="B1" s="11">
        <f>SUM( cleaned_Data!O:O)</f>
        <v>13309.919999999989</v>
      </c>
    </row>
    <row r="2" spans="1:2" x14ac:dyDescent="0.3">
      <c r="A2" t="s">
        <v>1080</v>
      </c>
      <c r="B2">
        <v>500</v>
      </c>
    </row>
    <row r="3" spans="1:2" x14ac:dyDescent="0.3">
      <c r="A3" t="s">
        <v>1081</v>
      </c>
      <c r="B3" s="11">
        <f>B1/B2</f>
        <v>26.619839999999979</v>
      </c>
    </row>
    <row r="5" spans="1:2" x14ac:dyDescent="0.3">
      <c r="A5" t="s">
        <v>1084</v>
      </c>
      <c r="B5" t="s">
        <v>62</v>
      </c>
    </row>
    <row r="6" spans="1:2" x14ac:dyDescent="0.3">
      <c r="A6" t="s">
        <v>1085</v>
      </c>
      <c r="B6" t="s">
        <v>1086</v>
      </c>
    </row>
    <row r="8" spans="1:2" x14ac:dyDescent="0.3">
      <c r="A8" t="s">
        <v>1087</v>
      </c>
      <c r="B8" t="s">
        <v>124</v>
      </c>
    </row>
    <row r="9" spans="1:2" x14ac:dyDescent="0.3">
      <c r="A9" t="s">
        <v>1088</v>
      </c>
      <c r="B9" s="14">
        <v>36859.07</v>
      </c>
    </row>
    <row r="10" spans="1:2" x14ac:dyDescent="0.3">
      <c r="A10" t="s">
        <v>1085</v>
      </c>
      <c r="B10" t="s">
        <v>1089</v>
      </c>
    </row>
    <row r="12" spans="1:2" x14ac:dyDescent="0.3">
      <c r="A12" t="s">
        <v>1090</v>
      </c>
      <c r="B12" t="s">
        <v>72</v>
      </c>
    </row>
    <row r="13" spans="1:2" x14ac:dyDescent="0.3">
      <c r="A13" t="s">
        <v>1091</v>
      </c>
      <c r="B13" s="14">
        <v>58896.69</v>
      </c>
    </row>
    <row r="14" spans="1:2" x14ac:dyDescent="0.3">
      <c r="A14" t="s">
        <v>1085</v>
      </c>
      <c r="B14" t="s">
        <v>1092</v>
      </c>
    </row>
    <row r="16" spans="1:2" x14ac:dyDescent="0.3">
      <c r="A16" t="s">
        <v>1106</v>
      </c>
      <c r="B16" t="s">
        <v>1095</v>
      </c>
    </row>
    <row r="17" spans="1:2" x14ac:dyDescent="0.3">
      <c r="A17" t="s">
        <v>1107</v>
      </c>
      <c r="B17" s="14">
        <v>26127.17</v>
      </c>
    </row>
    <row r="18" spans="1:2" x14ac:dyDescent="0.3">
      <c r="A18" t="s">
        <v>1085</v>
      </c>
      <c r="B18" t="s">
        <v>1108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EC1C-4D06-4EFA-A7BB-4C6F15C3D735}">
  <dimension ref="A1:K43"/>
  <sheetViews>
    <sheetView showGridLines="0" tabSelected="1" workbookViewId="0">
      <selection activeCell="C5" sqref="C5"/>
    </sheetView>
  </sheetViews>
  <sheetFormatPr defaultRowHeight="14.4" x14ac:dyDescent="0.3"/>
  <cols>
    <col min="1" max="1" width="9.77734375" bestFit="1" customWidth="1"/>
    <col min="2" max="2" width="11" bestFit="1" customWidth="1"/>
    <col min="4" max="4" width="11.109375" bestFit="1" customWidth="1"/>
    <col min="7" max="7" width="17.88671875" bestFit="1" customWidth="1"/>
    <col min="10" max="10" width="12.33203125" bestFit="1" customWidth="1"/>
    <col min="11" max="11" width="10.44140625" bestFit="1" customWidth="1"/>
  </cols>
  <sheetData>
    <row r="1" spans="1:11" ht="25.8" x14ac:dyDescent="0.5">
      <c r="A1" s="19" t="s">
        <v>1109</v>
      </c>
    </row>
    <row r="2" spans="1:11" x14ac:dyDescent="0.3">
      <c r="A2" s="16" t="s">
        <v>1112</v>
      </c>
    </row>
    <row r="3" spans="1:11" x14ac:dyDescent="0.3">
      <c r="A3" s="16" t="s">
        <v>1110</v>
      </c>
      <c r="B3" s="21">
        <v>249562.5</v>
      </c>
      <c r="D3" s="16" t="s">
        <v>1080</v>
      </c>
      <c r="E3" s="22">
        <v>500</v>
      </c>
      <c r="G3" s="16" t="s">
        <v>1081</v>
      </c>
      <c r="H3" s="21">
        <v>499.13</v>
      </c>
      <c r="J3" s="16" t="s">
        <v>1111</v>
      </c>
      <c r="K3" s="22" t="s">
        <v>62</v>
      </c>
    </row>
    <row r="39" spans="1:1" ht="21" x14ac:dyDescent="0.4">
      <c r="A39" s="20" t="s">
        <v>1113</v>
      </c>
    </row>
    <row r="40" spans="1:1" x14ac:dyDescent="0.3">
      <c r="A40" t="s">
        <v>1114</v>
      </c>
    </row>
    <row r="41" spans="1:1" x14ac:dyDescent="0.3">
      <c r="A41" t="s">
        <v>1115</v>
      </c>
    </row>
    <row r="42" spans="1:1" x14ac:dyDescent="0.3">
      <c r="A42" t="s">
        <v>1116</v>
      </c>
    </row>
    <row r="43" spans="1:1" x14ac:dyDescent="0.3">
      <c r="A43" t="s">
        <v>1117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Project_Info</vt:lpstr>
      <vt:lpstr>Raw_Data</vt:lpstr>
      <vt:lpstr>Pivot_Category</vt:lpstr>
      <vt:lpstr>Pivot_Product</vt:lpstr>
      <vt:lpstr>Pivot_Region</vt:lpstr>
      <vt:lpstr>Pivot_Monthly</vt:lpstr>
      <vt:lpstr>cleaned_Data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mahlodi moletja</cp:lastModifiedBy>
  <dcterms:created xsi:type="dcterms:W3CDTF">2026-08-08T06:51:01Z</dcterms:created>
  <dcterms:modified xsi:type="dcterms:W3CDTF">2026-08-26T14:36:16Z</dcterms:modified>
</cp:coreProperties>
</file>